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wilso\Desktop\PYTHON\DIO\Dio_Santander_desafio_dashboard\"/>
    </mc:Choice>
  </mc:AlternateContent>
  <xr:revisionPtr revIDLastSave="0" documentId="13_ncr:1_{7894449D-FC0F-4CF6-B23A-81A748EB55E4}" xr6:coauthVersionLast="47" xr6:coauthVersionMax="47" xr10:uidLastSave="{00000000-0000-0000-0000-000000000000}"/>
  <bookViews>
    <workbookView xWindow="-110" yWindow="-110" windowWidth="19420" windowHeight="10300" tabRatio="0" firstSheet="4" activeTab="4" xr2:uid="{00000000-000D-0000-FFFF-FFFF00000000}"/>
  </bookViews>
  <sheets>
    <sheet name="Assets" sheetId="3" state="hidden" r:id="rId1"/>
    <sheet name="Plans" sheetId="2" state="hidden" r:id="rId2"/>
    <sheet name="Base" sheetId="1" state="hidden" r:id="rId3"/>
    <sheet name="Tasks" sheetId="4" state="hidden" r:id="rId4"/>
    <sheet name="Dashboard" sheetId="5" r:id="rId5"/>
  </sheets>
  <definedNames>
    <definedName name="_xlnm._FilterDatabase" localSheetId="2" hidden="1">Base!$A$1:$J$201</definedName>
    <definedName name="SegmentaçãodeDados_Plan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I201" i="1" l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D8" i="4" l="1"/>
  <c r="D6" i="4"/>
  <c r="D7" i="4"/>
</calcChain>
</file>

<file path=xl/sharedStrings.xml><?xml version="1.0" encoding="utf-8"?>
<sst xmlns="http://schemas.openxmlformats.org/spreadsheetml/2006/main" count="1454" uniqueCount="192">
  <si>
    <t>Larissa Santos</t>
  </si>
  <si>
    <t>Pedro Monteiro</t>
  </si>
  <si>
    <t>Camila Monteiro</t>
  </si>
  <si>
    <t>Ana Almeida</t>
  </si>
  <si>
    <t>Larissa Rodrigues</t>
  </si>
  <si>
    <t>Fernanda Souza</t>
  </si>
  <si>
    <t>Bianca Lima</t>
  </si>
  <si>
    <t>Renata Almeida</t>
  </si>
  <si>
    <t>Mateus Silva</t>
  </si>
  <si>
    <t>Beatriz Santos</t>
  </si>
  <si>
    <t>Larissa Lima</t>
  </si>
  <si>
    <t>Mateus Monteiro</t>
  </si>
  <si>
    <t>Camila Oliveira</t>
  </si>
  <si>
    <t>Bruno Silva</t>
  </si>
  <si>
    <t>Carlos Silva</t>
  </si>
  <si>
    <t>Mariana Almeida</t>
  </si>
  <si>
    <t>Bruno Oliveira</t>
  </si>
  <si>
    <t>Bruno Santos</t>
  </si>
  <si>
    <t>Pedro Gomes</t>
  </si>
  <si>
    <t>Bruno Lima</t>
  </si>
  <si>
    <t>Mateus Lima</t>
  </si>
  <si>
    <t>Fernanda Monteiro</t>
  </si>
  <si>
    <t>Juliana Silva</t>
  </si>
  <si>
    <t>Bruno Rodrigues</t>
  </si>
  <si>
    <t>Pedro Silva</t>
  </si>
  <si>
    <t>Ana Rodrigues</t>
  </si>
  <si>
    <t>Lucas Pereira</t>
  </si>
  <si>
    <t>Mariana Santos</t>
  </si>
  <si>
    <t>Lucas Oliveira</t>
  </si>
  <si>
    <t>Larissa Pereira</t>
  </si>
  <si>
    <t>Beatriz Silva</t>
  </si>
  <si>
    <t>Lucas Lima</t>
  </si>
  <si>
    <t>Beatriz Pereira</t>
  </si>
  <si>
    <t>Bianca Souza</t>
  </si>
  <si>
    <t>Patrícia Almeida</t>
  </si>
  <si>
    <t>Carlos Almeida</t>
  </si>
  <si>
    <t>Pedro Rodrigues</t>
  </si>
  <si>
    <t>Renata Souza</t>
  </si>
  <si>
    <t>Gabriel Oliveira</t>
  </si>
  <si>
    <t>Beatriz Lima</t>
  </si>
  <si>
    <t>Gabriel Rodrigues</t>
  </si>
  <si>
    <t>João Souza</t>
  </si>
  <si>
    <t>Patrícia Gomes</t>
  </si>
  <si>
    <t>Mariana Monteiro</t>
  </si>
  <si>
    <t>Carlos Oliveira</t>
  </si>
  <si>
    <t>Carlos Santos</t>
  </si>
  <si>
    <t>Diego Almeida</t>
  </si>
  <si>
    <t>Fernanda Almeida</t>
  </si>
  <si>
    <t>Pedro Lima</t>
  </si>
  <si>
    <t>Diego Souza</t>
  </si>
  <si>
    <t>Bruno Pereira</t>
  </si>
  <si>
    <t>Bianca Almeida</t>
  </si>
  <si>
    <t>Pedro Almeida</t>
  </si>
  <si>
    <t>Diego Gomes</t>
  </si>
  <si>
    <t>Gabriel Souza</t>
  </si>
  <si>
    <t>Carlos Monteiro</t>
  </si>
  <si>
    <t>Pedro Oliveira</t>
  </si>
  <si>
    <t>Larissa Gomes</t>
  </si>
  <si>
    <t>Patrícia Pereira</t>
  </si>
  <si>
    <t>Thiago Pereira</t>
  </si>
  <si>
    <t>Bruno Monteiro</t>
  </si>
  <si>
    <t>Juliana Almeida</t>
  </si>
  <si>
    <t>João Lima</t>
  </si>
  <si>
    <t>Ana Santos</t>
  </si>
  <si>
    <t>Bianca Gomes</t>
  </si>
  <si>
    <t>Thiago Lima</t>
  </si>
  <si>
    <t>João Santos</t>
  </si>
  <si>
    <t>Lucas Rodrigues</t>
  </si>
  <si>
    <t>Lucas Souza</t>
  </si>
  <si>
    <t>Camila Lima</t>
  </si>
  <si>
    <t>Mariana Gomes</t>
  </si>
  <si>
    <t>Ana Monteiro</t>
  </si>
  <si>
    <t>Diego Silva</t>
  </si>
  <si>
    <t>Thiago Monteiro</t>
  </si>
  <si>
    <t>Ana Gomes</t>
  </si>
  <si>
    <t>Diego Rodrigues</t>
  </si>
  <si>
    <t>Renata Monteiro</t>
  </si>
  <si>
    <t>Fernanda Lima</t>
  </si>
  <si>
    <t>Juliana Santos</t>
  </si>
  <si>
    <t>Patrícia Oliveira</t>
  </si>
  <si>
    <t>Mateus Pereira</t>
  </si>
  <si>
    <t>Gabriel Gomes</t>
  </si>
  <si>
    <t>Mateus Rodrigues</t>
  </si>
  <si>
    <t>Patrícia Rodrigues</t>
  </si>
  <si>
    <t>Rafael Monteiro</t>
  </si>
  <si>
    <t>Lucas Gomes</t>
  </si>
  <si>
    <t>Rafael Gomes</t>
  </si>
  <si>
    <t>Rafael Pereira</t>
  </si>
  <si>
    <t>Diego Monteiro</t>
  </si>
  <si>
    <t>Mateus Oliveira</t>
  </si>
  <si>
    <t>Bruno Gomes</t>
  </si>
  <si>
    <t>Mariana Souza</t>
  </si>
  <si>
    <t>Thiago Almeida</t>
  </si>
  <si>
    <t>Ana Silva</t>
  </si>
  <si>
    <t>Mariana Silva</t>
  </si>
  <si>
    <t>Patrícia Santos</t>
  </si>
  <si>
    <t>Renata Gomes</t>
  </si>
  <si>
    <t>Gabriel Santos</t>
  </si>
  <si>
    <t>Larissa Monteiro</t>
  </si>
  <si>
    <t>Camila Gomes</t>
  </si>
  <si>
    <t>João Monteiro</t>
  </si>
  <si>
    <t>Bruno Almeida</t>
  </si>
  <si>
    <t>Camila Almeida</t>
  </si>
  <si>
    <t>Fernanda Santos</t>
  </si>
  <si>
    <t>Renata Silva</t>
  </si>
  <si>
    <t>Beatriz Monteiro</t>
  </si>
  <si>
    <t>Thiago Rodrigues</t>
  </si>
  <si>
    <t>Bianca Rodrigues</t>
  </si>
  <si>
    <t>Carlos Pereira</t>
  </si>
  <si>
    <t>Larissa Silva</t>
  </si>
  <si>
    <t>Pedro Souza</t>
  </si>
  <si>
    <t>Camila Silva</t>
  </si>
  <si>
    <t>Renata Santos</t>
  </si>
  <si>
    <t>Fernanda Pereira</t>
  </si>
  <si>
    <t>Gabriel Lima</t>
  </si>
  <si>
    <t>Bianca Monteiro</t>
  </si>
  <si>
    <t>Bianca Santos</t>
  </si>
  <si>
    <t>Mariana Lima</t>
  </si>
  <si>
    <t>Rafael Santos</t>
  </si>
  <si>
    <t>Campinas</t>
  </si>
  <si>
    <t>Maceió</t>
  </si>
  <si>
    <t>Goiânia</t>
  </si>
  <si>
    <t>Belo Horizonte</t>
  </si>
  <si>
    <t>Salvador</t>
  </si>
  <si>
    <t>Rio de Janeiro</t>
  </si>
  <si>
    <t>Porto Alegre</t>
  </si>
  <si>
    <t>Campo Grande</t>
  </si>
  <si>
    <t>Fortaleza</t>
  </si>
  <si>
    <t>São Luís</t>
  </si>
  <si>
    <t>João Pessoa</t>
  </si>
  <si>
    <t>Natal</t>
  </si>
  <si>
    <t>Brasília</t>
  </si>
  <si>
    <t>Manaus</t>
  </si>
  <si>
    <t>Belém</t>
  </si>
  <si>
    <t>Recife</t>
  </si>
  <si>
    <t>Cuiabá</t>
  </si>
  <si>
    <t>Curitiba</t>
  </si>
  <si>
    <t>São Paulo</t>
  </si>
  <si>
    <t>Teresina</t>
  </si>
  <si>
    <t>League Pass Premium</t>
  </si>
  <si>
    <t>League Pass</t>
  </si>
  <si>
    <t>NBA TV</t>
  </si>
  <si>
    <t>Team Pass</t>
  </si>
  <si>
    <t>Dallas Mavericks</t>
  </si>
  <si>
    <t>Golden State Warriors</t>
  </si>
  <si>
    <t>Denver Nuggets</t>
  </si>
  <si>
    <t>Miami Heat</t>
  </si>
  <si>
    <t>Boston Celtics</t>
  </si>
  <si>
    <t>Brooklyn Nets</t>
  </si>
  <si>
    <t>Los Angeles Lakers</t>
  </si>
  <si>
    <t>Milwaukee Bucks</t>
  </si>
  <si>
    <t>Phoenix Suns</t>
  </si>
  <si>
    <t>Chicago Bulls</t>
  </si>
  <si>
    <t>Name</t>
  </si>
  <si>
    <t>Gender</t>
  </si>
  <si>
    <t>City</t>
  </si>
  <si>
    <t>Subscription Type</t>
  </si>
  <si>
    <t>Favorite Team</t>
  </si>
  <si>
    <t>Plan</t>
  </si>
  <si>
    <t>Start Date</t>
  </si>
  <si>
    <t>Subscription Price</t>
  </si>
  <si>
    <t>Regular Season</t>
  </si>
  <si>
    <t>Monthly</t>
  </si>
  <si>
    <t>Not specified</t>
  </si>
  <si>
    <t>Female</t>
  </si>
  <si>
    <t>Male</t>
  </si>
  <si>
    <t>Not specified/Other</t>
  </si>
  <si>
    <t>Subscriber ID</t>
  </si>
  <si>
    <t>Plans</t>
  </si>
  <si>
    <t>Region</t>
  </si>
  <si>
    <t>Sudeste</t>
  </si>
  <si>
    <t>Nordeste</t>
  </si>
  <si>
    <t>Centro-oeste</t>
  </si>
  <si>
    <t>Sul</t>
  </si>
  <si>
    <t>Norte</t>
  </si>
  <si>
    <t>Soma de Subscription Price</t>
  </si>
  <si>
    <t>Rótulos de Linha</t>
  </si>
  <si>
    <t>Total Geral</t>
  </si>
  <si>
    <t>Full Season</t>
  </si>
  <si>
    <t>(Tudo)</t>
  </si>
  <si>
    <t>Paleta de cores</t>
  </si>
  <si>
    <t>Vermelho NBA</t>
  </si>
  <si>
    <t>#D71D54</t>
  </si>
  <si>
    <t>Azul NBA</t>
  </si>
  <si>
    <t>#006AB7</t>
  </si>
  <si>
    <t>Azul claro</t>
  </si>
  <si>
    <t>#008DF6</t>
  </si>
  <si>
    <t>NBA League Pass Subscription Sales</t>
  </si>
  <si>
    <t>Vermelho NBA (claro)</t>
  </si>
  <si>
    <t>#E64674</t>
  </si>
  <si>
    <t>Cinza</t>
  </si>
  <si>
    <t>#EBEDEF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</si>
</sst>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Segoe UI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EDEF"/>
        <bgColor indexed="64"/>
      </patternFill>
    </fill>
    <fill>
      <patternFill patternType="solid">
        <fgColor rgb="FFD71E54"/>
        <bgColor indexed="64"/>
      </patternFill>
    </fill>
    <fill>
      <patternFill patternType="solid">
        <fgColor rgb="FF006AB7"/>
        <bgColor indexed="64"/>
      </patternFill>
    </fill>
    <fill>
      <patternFill patternType="solid">
        <fgColor rgb="FF008DF6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646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1" applyNumberFormat="1" applyFont="1" applyBorder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/>
    <xf numFmtId="164" fontId="2" fillId="7" borderId="2" xfId="1" applyNumberFormat="1" applyFont="1" applyFill="1" applyBorder="1" applyAlignment="1">
      <alignment horizontal="center"/>
    </xf>
    <xf numFmtId="0" fontId="0" fillId="8" borderId="0" xfId="0" applyFill="1"/>
    <xf numFmtId="0" fontId="3" fillId="5" borderId="0" xfId="0" applyFont="1" applyFill="1" applyAlignment="1">
      <alignment horizontal="left" indent="4"/>
    </xf>
    <xf numFmtId="0" fontId="0" fillId="9" borderId="0" xfId="0" applyFill="1"/>
  </cellXfs>
  <cellStyles count="2">
    <cellStyle name="Moeda" xfId="1" builtinId="4"/>
    <cellStyle name="Normal" xfId="0" builtinId="0"/>
  </cellStyles>
  <dxfs count="2">
    <dxf>
      <font>
        <color rgb="FF006AB7"/>
        <name val="Impact"/>
        <family val="2"/>
        <scheme val="none"/>
      </font>
    </dxf>
    <dxf>
      <font>
        <sz val="14"/>
        <color theme="0"/>
        <name val="Impact"/>
        <family val="2"/>
        <scheme val="none"/>
      </font>
      <fill>
        <patternFill patternType="solid">
          <bgColor theme="0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NBA_subscription_type" pivot="0" table="0" count="7" xr9:uid="{F288D338-3F21-40F1-8975-A55AFA394C2D}">
      <tableStyleElement type="wholeTable" dxfId="1"/>
      <tableStyleElement type="headerRow" dxfId="0"/>
    </tableStyle>
  </tableStyles>
  <colors>
    <mruColors>
      <color rgb="FFEBEDEF"/>
      <color rgb="FFE64674"/>
      <color rgb="FF006AB7"/>
      <color rgb="FFD71E54"/>
      <color rgb="FF008DF6"/>
      <color rgb="FFE33164"/>
      <color rgb="FFFF8585"/>
      <color rgb="FFFE685C"/>
      <color rgb="FFFF9F89"/>
    </mruColors>
  </colors>
  <extLst>
    <ext xmlns:x14="http://schemas.microsoft.com/office/spreadsheetml/2009/9/main" uri="{46F421CA-312F-682f-3DD2-61675219B42D}">
      <x14:dxfs count="5">
        <dxf>
          <font>
            <color theme="0"/>
            <name val="Impact"/>
            <family val="2"/>
            <scheme val="none"/>
          </font>
          <fill>
            <patternFill>
              <bgColor rgb="FF008DF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Impact"/>
            <family val="2"/>
            <scheme val="none"/>
          </font>
          <fill>
            <patternFill>
              <bgColor rgb="FF008DF6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D71E54"/>
            <name val="Impact"/>
            <family val="2"/>
            <scheme val="none"/>
          </font>
          <fill>
            <patternFill>
              <bgColor rgb="FFFF85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  <name val="Impact"/>
            <family val="2"/>
            <scheme val="none"/>
          </font>
          <fill>
            <patternFill>
              <bgColor rgb="FFD71E5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6AB7"/>
            <name val="Impact"/>
            <family val="2"/>
            <scheme val="none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BA_subscription_type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[dashboard_nba.xlsx]Tasks!Tabela dinâmica4</c:name>
    <c:fmtId val="7"/>
  </c:pivotSource>
  <c:chart>
    <c:autoTitleDeleted val="1"/>
    <c:pivotFmts>
      <c:pivotFmt>
        <c:idx val="0"/>
        <c:spPr>
          <a:solidFill>
            <a:srgbClr val="FE68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E68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D71E54"/>
                  </a:solidFill>
                  <a:latin typeface="Segoe UI Black" panose="020B0A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D71E54"/>
                    </a:solidFill>
                    <a:latin typeface="Segoe UI Black" panose="020B0A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Tasks!$B$12:$B$15</c:f>
              <c:strCache>
                <c:ptCount val="3"/>
                <c:pt idx="0">
                  <c:v>Not specified/Other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Tasks!$C$12:$C$15</c:f>
              <c:numCache>
                <c:formatCode>"R$"\ #,##0.00</c:formatCode>
                <c:ptCount val="3"/>
                <c:pt idx="0">
                  <c:v>5208.2</c:v>
                </c:pt>
                <c:pt idx="1">
                  <c:v>21380.700000000012</c:v>
                </c:pt>
                <c:pt idx="2">
                  <c:v>16526.099999999984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5A2-9291-C2FC799C6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18457392"/>
        <c:axId val="1918458832"/>
      </c:barChart>
      <c:catAx>
        <c:axId val="191845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D71E54"/>
                </a:solidFill>
                <a:latin typeface="Segoe UI Black" panose="020B0A02040204020203" pitchFamily="34" charset="0"/>
                <a:ea typeface="+mn-ea"/>
                <a:cs typeface="+mn-cs"/>
              </a:defRPr>
            </a:pPr>
            <a:endParaRPr lang="pt-BR"/>
          </a:p>
        </c:txPr>
        <c:crossAx val="1918458832"/>
        <c:crosses val="autoZero"/>
        <c:auto val="1"/>
        <c:lblAlgn val="ctr"/>
        <c:lblOffset val="100"/>
        <c:noMultiLvlLbl val="0"/>
      </c:catAx>
      <c:valAx>
        <c:axId val="191845883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91845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[dashboard_nba.xlsx]Tasks!Tabela dinâmica1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BED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06AB7"/>
                  </a:solidFill>
                  <a:latin typeface="Segoe UI Black" panose="020B0A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BE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6AB7"/>
                    </a:solidFill>
                    <a:latin typeface="Segoe UI Black" panose="020B0A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Tasks!$B$18:$B$23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Tasks!$C$18:$C$23</c:f>
              <c:numCache>
                <c:formatCode>"R$"\ #,##0.00</c:formatCode>
                <c:ptCount val="5"/>
                <c:pt idx="0">
                  <c:v>7511.4999999999945</c:v>
                </c:pt>
                <c:pt idx="1">
                  <c:v>15961.699999999981</c:v>
                </c:pt>
                <c:pt idx="2">
                  <c:v>5072.7999999999993</c:v>
                </c:pt>
                <c:pt idx="3">
                  <c:v>11410.999999999991</c:v>
                </c:pt>
                <c:pt idx="4">
                  <c:v>3158.0000000000009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0-414C-962E-ACC73E6F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23170271"/>
        <c:axId val="1123183231"/>
      </c:barChart>
      <c:catAx>
        <c:axId val="112317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6AB7"/>
                </a:solidFill>
                <a:latin typeface="Segoe UI Black" panose="020B0A02040204020203" pitchFamily="34" charset="0"/>
                <a:ea typeface="+mn-ea"/>
                <a:cs typeface="+mn-cs"/>
              </a:defRPr>
            </a:pPr>
            <a:endParaRPr lang="pt-BR"/>
          </a:p>
        </c:txPr>
        <c:crossAx val="1123183231"/>
        <c:crosses val="autoZero"/>
        <c:auto val="1"/>
        <c:lblAlgn val="ctr"/>
        <c:lblOffset val="100"/>
        <c:noMultiLvlLbl val="0"/>
      </c:catAx>
      <c:valAx>
        <c:axId val="1123183231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1231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[dashboard_nba.xlsx]Tasks!Tabela dinâmica3</c:name>
    <c:fmtId val="7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E685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E685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6AB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Segoe UI Black" panose="020B0A02040204020203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6A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Segoe UI Black" panose="020B0A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Tasks!$B$6:$B$9</c:f>
              <c:strCache>
                <c:ptCount val="3"/>
                <c:pt idx="0">
                  <c:v>Monthly</c:v>
                </c:pt>
                <c:pt idx="1">
                  <c:v>Regular Season</c:v>
                </c:pt>
                <c:pt idx="2">
                  <c:v>Full Season</c:v>
                </c:pt>
              </c:strCache>
            </c:strRef>
          </c:cat>
          <c:val>
            <c:numRef>
              <c:f>Tasks!$C$6:$C$9</c:f>
              <c:numCache>
                <c:formatCode>"R$"\ #,##0.00</c:formatCode>
                <c:ptCount val="3"/>
                <c:pt idx="0">
                  <c:v>3796.2000000000057</c:v>
                </c:pt>
                <c:pt idx="1">
                  <c:v>11477.199999999995</c:v>
                </c:pt>
                <c:pt idx="2">
                  <c:v>27841.600000000039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D-4DE1-A0DA-1CB8CA7648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766103472"/>
        <c:axId val="1766092912"/>
      </c:barChart>
      <c:catAx>
        <c:axId val="1766103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Segoe UI Black" panose="020B0A02040204020203" pitchFamily="34" charset="0"/>
                <a:ea typeface="+mn-ea"/>
                <a:cs typeface="+mn-cs"/>
              </a:defRPr>
            </a:pPr>
            <a:endParaRPr lang="pt-BR"/>
          </a:p>
        </c:txPr>
        <c:crossAx val="1766092912"/>
        <c:crosses val="autoZero"/>
        <c:auto val="1"/>
        <c:lblAlgn val="ctr"/>
        <c:lblOffset val="100"/>
        <c:noMultiLvlLbl val="0"/>
      </c:catAx>
      <c:valAx>
        <c:axId val="1766092912"/>
        <c:scaling>
          <c:orientation val="minMax"/>
        </c:scaling>
        <c:delete val="1"/>
        <c:axPos val="t"/>
        <c:numFmt formatCode="&quot;R$&quot;\ #,##0.00" sourceLinked="1"/>
        <c:majorTickMark val="out"/>
        <c:minorTickMark val="none"/>
        <c:tickLblPos val="nextTo"/>
        <c:crossAx val="176610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88900</xdr:rowOff>
    </xdr:from>
    <xdr:to>
      <xdr:col>1</xdr:col>
      <xdr:colOff>81150</xdr:colOff>
      <xdr:row>8</xdr:row>
      <xdr:rowOff>55700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C1951D-A42A-22FC-0B3B-CA6EB58C3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8900"/>
          <a:ext cx="633600" cy="14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376900</xdr:colOff>
      <xdr:row>15</xdr:row>
      <xdr:rowOff>82550</xdr:rowOff>
    </xdr:from>
    <xdr:to>
      <xdr:col>16</xdr:col>
      <xdr:colOff>180100</xdr:colOff>
      <xdr:row>27</xdr:row>
      <xdr:rowOff>33912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BE1FA2DD-E434-28F5-C502-02CA1CE26216}"/>
            </a:ext>
          </a:extLst>
        </xdr:cNvPr>
        <xdr:cNvGrpSpPr/>
      </xdr:nvGrpSpPr>
      <xdr:grpSpPr>
        <a:xfrm>
          <a:off x="7234900" y="3092450"/>
          <a:ext cx="4680000" cy="2161162"/>
          <a:chOff x="7414900" y="3092450"/>
          <a:chExt cx="4680000" cy="2161162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A25295A3-0C6D-4A90-857D-FB88DD2D9494}"/>
              </a:ext>
            </a:extLst>
          </xdr:cNvPr>
          <xdr:cNvGrpSpPr/>
        </xdr:nvGrpSpPr>
        <xdr:grpSpPr>
          <a:xfrm>
            <a:off x="7414900" y="3092450"/>
            <a:ext cx="4680000" cy="2161162"/>
            <a:chOff x="2476500" y="3086100"/>
            <a:chExt cx="4495800" cy="2161162"/>
          </a:xfrm>
        </xdr:grpSpPr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681DE5EF-1A54-2D43-778F-8243405FD090}"/>
                </a:ext>
              </a:extLst>
            </xdr:cNvPr>
            <xdr:cNvSpPr/>
          </xdr:nvSpPr>
          <xdr:spPr>
            <a:xfrm>
              <a:off x="2476500" y="3087262"/>
              <a:ext cx="4495800" cy="2160000"/>
            </a:xfrm>
            <a:prstGeom prst="roundRect">
              <a:avLst>
                <a:gd name="adj" fmla="val 13139"/>
              </a:avLst>
            </a:prstGeom>
            <a:solidFill>
              <a:schemeClr val="bg1">
                <a:lumMod val="75000"/>
              </a:schemeClr>
            </a:solidFill>
            <a:ln w="571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6" name="Retângulo: Cantos Superiores Arredondados 25">
              <a:extLst>
                <a:ext uri="{FF2B5EF4-FFF2-40B4-BE49-F238E27FC236}">
                  <a16:creationId xmlns:a16="http://schemas.microsoft.com/office/drawing/2014/main" id="{70FE9BF3-BC87-403E-2104-66F9613D93D2}"/>
                </a:ext>
              </a:extLst>
            </xdr:cNvPr>
            <xdr:cNvSpPr/>
          </xdr:nvSpPr>
          <xdr:spPr>
            <a:xfrm>
              <a:off x="2482850" y="3086100"/>
              <a:ext cx="4489450" cy="5397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D71E54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2000">
                  <a:latin typeface="Segoe UI Black" panose="020B0A02040204020203" pitchFamily="34" charset="0"/>
                  <a:ea typeface="Segoe UI Black" panose="020B0A02040204020203" pitchFamily="34" charset="0"/>
                </a:rPr>
                <a:t>Subscripton sales by gender</a:t>
              </a:r>
            </a:p>
          </xdr:txBody>
        </xdr:sp>
      </xdr:grp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AABC5435-1F08-4037-8996-0EA5206D0B9A}"/>
              </a:ext>
            </a:extLst>
          </xdr:cNvPr>
          <xdr:cNvGraphicFramePr>
            <a:graphicFrameLocks/>
          </xdr:cNvGraphicFramePr>
        </xdr:nvGraphicFramePr>
        <xdr:xfrm>
          <a:off x="7423150" y="3619500"/>
          <a:ext cx="4470400" cy="1619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</xdr:col>
      <xdr:colOff>107950</xdr:colOff>
      <xdr:row>15</xdr:row>
      <xdr:rowOff>82550</xdr:rowOff>
    </xdr:from>
    <xdr:to>
      <xdr:col>8</xdr:col>
      <xdr:colOff>196900</xdr:colOff>
      <xdr:row>27</xdr:row>
      <xdr:rowOff>82550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F02C350B-1382-7AB2-F780-54B8CD28919A}"/>
            </a:ext>
          </a:extLst>
        </xdr:cNvPr>
        <xdr:cNvGrpSpPr/>
      </xdr:nvGrpSpPr>
      <xdr:grpSpPr>
        <a:xfrm>
          <a:off x="2374900" y="3092450"/>
          <a:ext cx="4680000" cy="2209800"/>
          <a:chOff x="2374900" y="3124200"/>
          <a:chExt cx="4591050" cy="2209800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CBB9981B-0754-E671-A917-573B0015F4C4}"/>
              </a:ext>
            </a:extLst>
          </xdr:cNvPr>
          <xdr:cNvGrpSpPr/>
        </xdr:nvGrpSpPr>
        <xdr:grpSpPr>
          <a:xfrm>
            <a:off x="2374900" y="3124200"/>
            <a:ext cx="4500000" cy="2161162"/>
            <a:chOff x="2476500" y="3086100"/>
            <a:chExt cx="4495800" cy="2161162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E83EF5F2-208B-421E-817F-687DA8D73D7F}"/>
                </a:ext>
              </a:extLst>
            </xdr:cNvPr>
            <xdr:cNvSpPr/>
          </xdr:nvSpPr>
          <xdr:spPr>
            <a:xfrm>
              <a:off x="2476500" y="3087262"/>
              <a:ext cx="4495800" cy="2160000"/>
            </a:xfrm>
            <a:prstGeom prst="roundRect">
              <a:avLst>
                <a:gd name="adj" fmla="val 13139"/>
              </a:avLst>
            </a:prstGeom>
            <a:solidFill>
              <a:schemeClr val="bg1">
                <a:lumMod val="75000"/>
              </a:schemeClr>
            </a:solidFill>
            <a:ln w="571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2" name="Retângulo: Cantos Superiores Arredondados 21">
              <a:extLst>
                <a:ext uri="{FF2B5EF4-FFF2-40B4-BE49-F238E27FC236}">
                  <a16:creationId xmlns:a16="http://schemas.microsoft.com/office/drawing/2014/main" id="{5888AD31-79D1-5726-8EFC-287368E9283E}"/>
                </a:ext>
              </a:extLst>
            </xdr:cNvPr>
            <xdr:cNvSpPr/>
          </xdr:nvSpPr>
          <xdr:spPr>
            <a:xfrm>
              <a:off x="2482850" y="3086100"/>
              <a:ext cx="4489450" cy="5397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006AB7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2000">
                  <a:latin typeface="Segoe UI Black" panose="020B0A02040204020203" pitchFamily="34" charset="0"/>
                  <a:ea typeface="Segoe UI Black" panose="020B0A02040204020203" pitchFamily="34" charset="0"/>
                </a:rPr>
                <a:t>Subscripton sales by region</a:t>
              </a:r>
            </a:p>
          </xdr:txBody>
        </xdr:sp>
      </xdr:grp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A68E71F9-A109-408F-A53B-EE95B13CED68}"/>
              </a:ext>
            </a:extLst>
          </xdr:cNvPr>
          <xdr:cNvGraphicFramePr>
            <a:graphicFrameLocks/>
          </xdr:cNvGraphicFramePr>
        </xdr:nvGraphicFramePr>
        <xdr:xfrm>
          <a:off x="2495550" y="3683000"/>
          <a:ext cx="4470400" cy="165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57150</xdr:colOff>
      <xdr:row>2</xdr:row>
      <xdr:rowOff>19048</xdr:rowOff>
    </xdr:from>
    <xdr:to>
      <xdr:col>0</xdr:col>
      <xdr:colOff>2217150</xdr:colOff>
      <xdr:row>10</xdr:row>
      <xdr:rowOff>165848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lan">
              <a:extLst>
                <a:ext uri="{FF2B5EF4-FFF2-40B4-BE49-F238E27FC236}">
                  <a16:creationId xmlns:a16="http://schemas.microsoft.com/office/drawing/2014/main" id="{501DE120-DA90-4EB9-8D00-549DBF71BD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634998"/>
              <a:ext cx="2160000" cy="16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50800</xdr:colOff>
      <xdr:row>10</xdr:row>
      <xdr:rowOff>44450</xdr:rowOff>
    </xdr:from>
    <xdr:to>
      <xdr:col>0</xdr:col>
      <xdr:colOff>2210800</xdr:colOff>
      <xdr:row>15</xdr:row>
      <xdr:rowOff>23700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9EDD84E5-8E03-F2C4-5B31-3594AAD28C78}"/>
            </a:ext>
          </a:extLst>
        </xdr:cNvPr>
        <xdr:cNvGrpSpPr/>
      </xdr:nvGrpSpPr>
      <xdr:grpSpPr>
        <a:xfrm>
          <a:off x="50800" y="2133600"/>
          <a:ext cx="2160000" cy="900000"/>
          <a:chOff x="3111500" y="406400"/>
          <a:chExt cx="2520000" cy="1080000"/>
        </a:xfrm>
      </xdr:grpSpPr>
      <xdr:sp macro="" textlink="Tasks!D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A83D5C4-F86C-D36B-2B6C-931758ACB3D3}"/>
              </a:ext>
            </a:extLst>
          </xdr:cNvPr>
          <xdr:cNvSpPr/>
        </xdr:nvSpPr>
        <xdr:spPr>
          <a:xfrm>
            <a:off x="3111500" y="406400"/>
            <a:ext cx="2520000" cy="1080000"/>
          </a:xfrm>
          <a:prstGeom prst="roundRect">
            <a:avLst/>
          </a:prstGeom>
          <a:solidFill>
            <a:srgbClr val="D71E54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C95F12E5-44D7-499F-92F1-CD4113377D0F}" type="TxLink">
              <a:rPr lang="en-US" sz="2800" b="0" i="0" u="none" strike="noStrike">
                <a:solidFill>
                  <a:schemeClr val="bg1"/>
                </a:solidFill>
                <a:latin typeface="Impact" panose="020B0806030902050204" pitchFamily="34" charset="0"/>
                <a:ea typeface="Calibri"/>
                <a:cs typeface="Calibri"/>
              </a:rPr>
              <a:pPr algn="ctr"/>
              <a:t>R$ 3.796,20</a:t>
            </a:fld>
            <a:endParaRPr lang="pt-BR" sz="2800">
              <a:solidFill>
                <a:schemeClr val="bg1"/>
              </a:solidFill>
              <a:latin typeface="Impact" panose="020B0806030902050204" pitchFamily="34" charset="0"/>
            </a:endParaRPr>
          </a:p>
        </xdr:txBody>
      </xdr: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9C8EAD56-80AB-7777-6DA7-0BC28ABCAAF7}"/>
              </a:ext>
            </a:extLst>
          </xdr:cNvPr>
          <xdr:cNvSpPr/>
        </xdr:nvSpPr>
        <xdr:spPr>
          <a:xfrm>
            <a:off x="3111500" y="406400"/>
            <a:ext cx="2520000" cy="432000"/>
          </a:xfrm>
          <a:prstGeom prst="round2SameRect">
            <a:avLst>
              <a:gd name="adj1" fmla="val 34125"/>
              <a:gd name="adj2" fmla="val 0"/>
            </a:avLst>
          </a:prstGeom>
          <a:solidFill>
            <a:srgbClr val="006AB7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>
                <a:latin typeface="Segoe UI Black" panose="020B0A02040204020203" pitchFamily="34" charset="0"/>
                <a:ea typeface="Segoe UI Black" panose="020B0A02040204020203" pitchFamily="34" charset="0"/>
              </a:rPr>
              <a:t>Monthly</a:t>
            </a:r>
            <a:endParaRPr lang="pt-BR" sz="105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50799</xdr:colOff>
      <xdr:row>16</xdr:row>
      <xdr:rowOff>31750</xdr:rowOff>
    </xdr:from>
    <xdr:to>
      <xdr:col>0</xdr:col>
      <xdr:colOff>2210800</xdr:colOff>
      <xdr:row>21</xdr:row>
      <xdr:rowOff>11000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462D89B6-4929-4FE4-B4E7-900B92C49C8D}"/>
            </a:ext>
          </a:extLst>
        </xdr:cNvPr>
        <xdr:cNvGrpSpPr/>
      </xdr:nvGrpSpPr>
      <xdr:grpSpPr>
        <a:xfrm>
          <a:off x="50799" y="3225800"/>
          <a:ext cx="2160001" cy="900000"/>
          <a:chOff x="3111500" y="406400"/>
          <a:chExt cx="2520001" cy="1080000"/>
        </a:xfrm>
      </xdr:grpSpPr>
      <xdr:sp macro="" textlink="Tasks!D7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2AB20A1-DD6B-0CBF-03E7-B67857264842}"/>
              </a:ext>
            </a:extLst>
          </xdr:cNvPr>
          <xdr:cNvSpPr/>
        </xdr:nvSpPr>
        <xdr:spPr>
          <a:xfrm>
            <a:off x="3111500" y="406400"/>
            <a:ext cx="2520000" cy="1080000"/>
          </a:xfrm>
          <a:prstGeom prst="roundRect">
            <a:avLst/>
          </a:prstGeom>
          <a:solidFill>
            <a:srgbClr val="D71E54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59065257-2275-4DCC-8A7C-C07A31F40291}" type="TxLink">
              <a:rPr lang="en-US" sz="2800" b="0" i="0" u="none" strike="noStrike">
                <a:solidFill>
                  <a:schemeClr val="bg1"/>
                </a:solidFill>
                <a:latin typeface="Impact" panose="020B0806030902050204" pitchFamily="34" charset="0"/>
                <a:ea typeface="Calibri"/>
                <a:cs typeface="Calibri"/>
              </a:rPr>
              <a:pPr algn="ctr"/>
              <a:t>R$ 11.477,20</a:t>
            </a:fld>
            <a:endParaRPr lang="pt-BR" sz="5400">
              <a:solidFill>
                <a:schemeClr val="bg1"/>
              </a:solidFill>
              <a:latin typeface="Impact" panose="020B0806030902050204" pitchFamily="34" charset="0"/>
            </a:endParaRPr>
          </a:p>
        </xdr:txBody>
      </xdr:sp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E6472481-3631-F317-7B1E-43D1BA595A04}"/>
              </a:ext>
            </a:extLst>
          </xdr:cNvPr>
          <xdr:cNvSpPr/>
        </xdr:nvSpPr>
        <xdr:spPr>
          <a:xfrm>
            <a:off x="3111501" y="406400"/>
            <a:ext cx="2520000" cy="432000"/>
          </a:xfrm>
          <a:prstGeom prst="round2SameRect">
            <a:avLst>
              <a:gd name="adj1" fmla="val 41181"/>
              <a:gd name="adj2" fmla="val 0"/>
            </a:avLst>
          </a:prstGeom>
          <a:solidFill>
            <a:srgbClr val="006AB7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>
                <a:latin typeface="Segoe UI Black" panose="020B0A02040204020203" pitchFamily="34" charset="0"/>
                <a:ea typeface="Segoe UI Black" panose="020B0A02040204020203" pitchFamily="34" charset="0"/>
              </a:rPr>
              <a:t>Regular</a:t>
            </a:r>
            <a:r>
              <a:rPr lang="pt-BR" sz="1800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Season</a:t>
            </a:r>
            <a:endParaRPr lang="pt-BR" sz="18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50800</xdr:colOff>
      <xdr:row>22</xdr:row>
      <xdr:rowOff>12700</xdr:rowOff>
    </xdr:from>
    <xdr:to>
      <xdr:col>0</xdr:col>
      <xdr:colOff>2210800</xdr:colOff>
      <xdr:row>26</xdr:row>
      <xdr:rowOff>176100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BB71AE2-989A-427C-8008-167AC9B4E03A}"/>
            </a:ext>
          </a:extLst>
        </xdr:cNvPr>
        <xdr:cNvGrpSpPr/>
      </xdr:nvGrpSpPr>
      <xdr:grpSpPr>
        <a:xfrm>
          <a:off x="50800" y="4311650"/>
          <a:ext cx="2160000" cy="900000"/>
          <a:chOff x="3111500" y="406400"/>
          <a:chExt cx="2520000" cy="1080000"/>
        </a:xfrm>
      </xdr:grpSpPr>
      <xdr:sp macro="" textlink="Tasks!D8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31D067AB-ADC7-6852-682D-81ADAA58079A}"/>
              </a:ext>
            </a:extLst>
          </xdr:cNvPr>
          <xdr:cNvSpPr/>
        </xdr:nvSpPr>
        <xdr:spPr>
          <a:xfrm>
            <a:off x="3111500" y="406400"/>
            <a:ext cx="2520000" cy="1080000"/>
          </a:xfrm>
          <a:prstGeom prst="roundRect">
            <a:avLst/>
          </a:prstGeom>
          <a:solidFill>
            <a:srgbClr val="D71E54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CA0C4B2-1C67-4721-A2B2-A1C54FB82200}" type="TxLink">
              <a:rPr lang="en-US" sz="2800" b="0" i="0" u="none" strike="noStrike">
                <a:solidFill>
                  <a:schemeClr val="bg1"/>
                </a:solidFill>
                <a:latin typeface="Impact" panose="020B0806030902050204" pitchFamily="34" charset="0"/>
                <a:ea typeface="Calibri"/>
                <a:cs typeface="Calibri"/>
              </a:rPr>
              <a:pPr algn="ctr"/>
              <a:t>R$ 27.841,60</a:t>
            </a:fld>
            <a:endParaRPr lang="pt-BR" sz="5400">
              <a:solidFill>
                <a:schemeClr val="bg1"/>
              </a:solidFill>
              <a:latin typeface="Impact" panose="020B0806030902050204" pitchFamily="34" charset="0"/>
            </a:endParaRPr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844EA6FD-C66E-6AEE-F71A-6DE36DC26E57}"/>
              </a:ext>
            </a:extLst>
          </xdr:cNvPr>
          <xdr:cNvSpPr/>
        </xdr:nvSpPr>
        <xdr:spPr>
          <a:xfrm>
            <a:off x="3111500" y="406400"/>
            <a:ext cx="2520000" cy="432000"/>
          </a:xfrm>
          <a:prstGeom prst="round2SameRect">
            <a:avLst>
              <a:gd name="adj1" fmla="val 35889"/>
              <a:gd name="adj2" fmla="val 0"/>
            </a:avLst>
          </a:prstGeom>
          <a:solidFill>
            <a:srgbClr val="006AB7"/>
          </a:solidFill>
          <a:ln w="190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>
                <a:latin typeface="Segoe UI Black" panose="020B0A02040204020203" pitchFamily="34" charset="0"/>
                <a:ea typeface="Segoe UI Black" panose="020B0A02040204020203" pitchFamily="34" charset="0"/>
              </a:rPr>
              <a:t>Full</a:t>
            </a:r>
            <a:r>
              <a:rPr lang="pt-BR" sz="1800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Season</a:t>
            </a:r>
            <a:endParaRPr lang="pt-BR" sz="18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88900</xdr:colOff>
      <xdr:row>0</xdr:row>
      <xdr:rowOff>44450</xdr:rowOff>
    </xdr:from>
    <xdr:to>
      <xdr:col>0</xdr:col>
      <xdr:colOff>326500</xdr:colOff>
      <xdr:row>1</xdr:row>
      <xdr:rowOff>311400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17CB87-F7DE-4B7A-8A89-34AFD24BA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44450"/>
          <a:ext cx="237600" cy="540000"/>
        </a:xfrm>
        <a:prstGeom prst="rect">
          <a:avLst/>
        </a:prstGeom>
      </xdr:spPr>
    </xdr:pic>
    <xdr:clientData/>
  </xdr:twoCellAnchor>
  <xdr:twoCellAnchor>
    <xdr:from>
      <xdr:col>1</xdr:col>
      <xdr:colOff>107950</xdr:colOff>
      <xdr:row>2</xdr:row>
      <xdr:rowOff>140674</xdr:rowOff>
    </xdr:from>
    <xdr:to>
      <xdr:col>16</xdr:col>
      <xdr:colOff>180100</xdr:colOff>
      <xdr:row>14</xdr:row>
      <xdr:rowOff>70851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4E9B3145-3809-317F-A88A-F4F1DA5BD3A7}"/>
            </a:ext>
          </a:extLst>
        </xdr:cNvPr>
        <xdr:cNvGrpSpPr/>
      </xdr:nvGrpSpPr>
      <xdr:grpSpPr>
        <a:xfrm>
          <a:off x="2374900" y="756624"/>
          <a:ext cx="9540000" cy="2139977"/>
          <a:chOff x="2374900" y="667724"/>
          <a:chExt cx="9540000" cy="2139977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862DB17D-BE69-1256-FBA0-015FD12D10BE}"/>
              </a:ext>
            </a:extLst>
          </xdr:cNvPr>
          <xdr:cNvGrpSpPr/>
        </xdr:nvGrpSpPr>
        <xdr:grpSpPr>
          <a:xfrm>
            <a:off x="2374900" y="667725"/>
            <a:ext cx="9540000" cy="2139976"/>
            <a:chOff x="2374900" y="629812"/>
            <a:chExt cx="9540000" cy="216000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0F5B2BC6-0BC8-2C3A-8F58-F6BD6E2FA218}"/>
                </a:ext>
              </a:extLst>
            </xdr:cNvPr>
            <xdr:cNvSpPr/>
          </xdr:nvSpPr>
          <xdr:spPr>
            <a:xfrm>
              <a:off x="2374900" y="629812"/>
              <a:ext cx="9540000" cy="2160000"/>
            </a:xfrm>
            <a:prstGeom prst="roundRect">
              <a:avLst>
                <a:gd name="adj" fmla="val 12512"/>
              </a:avLst>
            </a:prstGeom>
            <a:solidFill>
              <a:schemeClr val="bg1">
                <a:lumMod val="75000"/>
              </a:schemeClr>
            </a:solidFill>
            <a:ln w="571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B1FF484-0B96-4922-8E07-23E149961247}"/>
                </a:ext>
              </a:extLst>
            </xdr:cNvPr>
            <xdr:cNvGraphicFramePr>
              <a:graphicFrameLocks/>
            </xdr:cNvGraphicFramePr>
          </xdr:nvGraphicFramePr>
          <xdr:xfrm>
            <a:off x="2393950" y="1173628"/>
            <a:ext cx="9486900" cy="159497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3E54E017-385A-FA78-55AB-58B27894F455}"/>
              </a:ext>
            </a:extLst>
          </xdr:cNvPr>
          <xdr:cNvSpPr/>
        </xdr:nvSpPr>
        <xdr:spPr>
          <a:xfrm>
            <a:off x="2374900" y="667724"/>
            <a:ext cx="9540000" cy="54000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006AB7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2400">
                <a:latin typeface="Segoe UI Black" panose="020B0A02040204020203" pitchFamily="34" charset="0"/>
                <a:ea typeface="Segoe UI Black" panose="020B0A02040204020203" pitchFamily="34" charset="0"/>
              </a:rPr>
              <a:t>Subscription Sales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son de Andrade" refreshedDate="46024.684693634263" createdVersion="8" refreshedVersion="8" minRefreshableVersion="3" recordCount="200" xr:uid="{E8ED7B94-700C-49E1-A9D2-5482F7D76C07}">
  <cacheSource type="worksheet">
    <worksheetSource ref="A1:J201" sheet="Base"/>
  </cacheSource>
  <cacheFields count="10">
    <cacheField name="Subscriber ID" numFmtId="0">
      <sharedItems containsSemiMixedTypes="0" containsString="0" containsNumber="1" containsInteger="1" minValue="1324" maxValue="1523"/>
    </cacheField>
    <cacheField name="Name" numFmtId="0">
      <sharedItems/>
    </cacheField>
    <cacheField name="Gender" numFmtId="0">
      <sharedItems count="3">
        <s v="Female"/>
        <s v="Male"/>
        <s v="Not specified/Other"/>
      </sharedItems>
    </cacheField>
    <cacheField name="City" numFmtId="0">
      <sharedItems/>
    </cacheField>
    <cacheField name="Region" numFmtId="0">
      <sharedItems count="5">
        <s v="Sudeste"/>
        <s v="Nordeste"/>
        <s v="Centro-oeste"/>
        <s v="Sul"/>
        <s v="Norte"/>
      </sharedItems>
    </cacheField>
    <cacheField name="Plan" numFmtId="0">
      <sharedItems count="4">
        <s v="League Pass Premium"/>
        <s v="League Pass"/>
        <s v="NBA TV"/>
        <s v="Team Pass"/>
      </sharedItems>
    </cacheField>
    <cacheField name="Start Date" numFmtId="14">
      <sharedItems containsSemiMixedTypes="0" containsNonDate="0" containsDate="1" containsString="0" minDate="2025-01-01T00:00:00" maxDate="2025-12-15T00:00:00"/>
    </cacheField>
    <cacheField name="Subscription Type" numFmtId="0">
      <sharedItems count="4">
        <s v="Full Season"/>
        <s v="Monthly"/>
        <s v="Regular Season"/>
        <s v="Annual (Full)" u="1"/>
      </sharedItems>
    </cacheField>
    <cacheField name="Subscription Price" numFmtId="164">
      <sharedItems containsSemiMixedTypes="0" containsString="0" containsNumber="1" minValue="24.9" maxValue="599.9"/>
    </cacheField>
    <cacheField name="Favorite Team" numFmtId="0">
      <sharedItems/>
    </cacheField>
  </cacheFields>
  <extLst>
    <ext xmlns:x14="http://schemas.microsoft.com/office/spreadsheetml/2009/9/main" uri="{725AE2AE-9491-48be-B2B4-4EB974FC3084}">
      <x14:pivotCacheDefinition pivotCacheId="19083468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324"/>
    <s v="Larissa Santos"/>
    <x v="0"/>
    <s v="Campinas"/>
    <x v="0"/>
    <x v="0"/>
    <d v="2025-01-01T00:00:00"/>
    <x v="0"/>
    <n v="599.9"/>
    <s v="Dallas Mavericks"/>
  </r>
  <r>
    <n v="1325"/>
    <s v="Pedro Monteiro"/>
    <x v="1"/>
    <s v="Maceió"/>
    <x v="1"/>
    <x v="1"/>
    <d v="2025-02-20T00:00:00"/>
    <x v="1"/>
    <n v="54.9"/>
    <s v="Not specified"/>
  </r>
  <r>
    <n v="1326"/>
    <s v="Camila Monteiro"/>
    <x v="0"/>
    <s v="Goiânia"/>
    <x v="2"/>
    <x v="0"/>
    <d v="2025-03-03T00:00:00"/>
    <x v="1"/>
    <n v="74.900000000000006"/>
    <s v="Golden State Warriors"/>
  </r>
  <r>
    <n v="1327"/>
    <s v="Ana Almeida"/>
    <x v="0"/>
    <s v="Belo Horizonte"/>
    <x v="0"/>
    <x v="2"/>
    <d v="2025-03-05T00:00:00"/>
    <x v="0"/>
    <n v="199.9"/>
    <s v="Denver Nuggets"/>
  </r>
  <r>
    <n v="1328"/>
    <s v="Larissa Rodrigues"/>
    <x v="2"/>
    <s v="Salvador"/>
    <x v="1"/>
    <x v="2"/>
    <d v="2025-03-08T00:00:00"/>
    <x v="1"/>
    <n v="24.9"/>
    <s v="Miami Heat"/>
  </r>
  <r>
    <n v="1329"/>
    <s v="Fernanda Souza"/>
    <x v="2"/>
    <s v="Rio de Janeiro"/>
    <x v="0"/>
    <x v="1"/>
    <d v="2025-03-11T00:00:00"/>
    <x v="2"/>
    <n v="349.9"/>
    <s v="Not specified"/>
  </r>
  <r>
    <n v="1330"/>
    <s v="Bianca Lima"/>
    <x v="0"/>
    <s v="Campinas"/>
    <x v="0"/>
    <x v="2"/>
    <d v="2025-03-14T00:00:00"/>
    <x v="1"/>
    <n v="24.9"/>
    <s v="Boston Celtics"/>
  </r>
  <r>
    <n v="1331"/>
    <s v="Renata Almeida"/>
    <x v="0"/>
    <s v="Porto Alegre"/>
    <x v="3"/>
    <x v="3"/>
    <d v="2025-03-17T00:00:00"/>
    <x v="1"/>
    <n v="39.9"/>
    <s v="Brooklyn Nets"/>
  </r>
  <r>
    <n v="1332"/>
    <s v="Mateus Silva"/>
    <x v="1"/>
    <s v="Campo Grande"/>
    <x v="2"/>
    <x v="3"/>
    <d v="2025-03-20T00:00:00"/>
    <x v="0"/>
    <n v="299.89999999999998"/>
    <s v="Denver Nuggets"/>
  </r>
  <r>
    <n v="1333"/>
    <s v="Beatriz Santos"/>
    <x v="0"/>
    <s v="Fortaleza"/>
    <x v="1"/>
    <x v="2"/>
    <d v="2025-03-23T00:00:00"/>
    <x v="1"/>
    <n v="24.9"/>
    <s v="Dallas Mavericks"/>
  </r>
  <r>
    <n v="1334"/>
    <s v="Larissa Lima"/>
    <x v="0"/>
    <s v="São Luís"/>
    <x v="1"/>
    <x v="1"/>
    <d v="2025-03-26T00:00:00"/>
    <x v="0"/>
    <n v="449.9"/>
    <s v="Miami Heat"/>
  </r>
  <r>
    <n v="1335"/>
    <s v="Mateus Monteiro"/>
    <x v="1"/>
    <s v="Salvador"/>
    <x v="1"/>
    <x v="0"/>
    <d v="2025-03-29T00:00:00"/>
    <x v="1"/>
    <n v="74.900000000000006"/>
    <s v="Golden State Warriors"/>
  </r>
  <r>
    <n v="1336"/>
    <s v="Camila Oliveira"/>
    <x v="0"/>
    <s v="Campo Grande"/>
    <x v="2"/>
    <x v="2"/>
    <d v="2025-04-02T00:00:00"/>
    <x v="0"/>
    <n v="199.9"/>
    <s v="Los Angeles Lakers"/>
  </r>
  <r>
    <n v="1337"/>
    <s v="Camila Monteiro"/>
    <x v="0"/>
    <s v="São Luís"/>
    <x v="1"/>
    <x v="3"/>
    <d v="2025-04-05T00:00:00"/>
    <x v="1"/>
    <n v="39.9"/>
    <s v="Milwaukee Bucks"/>
  </r>
  <r>
    <n v="1338"/>
    <s v="Bruno Silva"/>
    <x v="2"/>
    <s v="João Pessoa"/>
    <x v="1"/>
    <x v="3"/>
    <d v="2025-04-08T00:00:00"/>
    <x v="0"/>
    <n v="299.89999999999998"/>
    <s v="Milwaukee Bucks"/>
  </r>
  <r>
    <n v="1339"/>
    <s v="Carlos Silva"/>
    <x v="1"/>
    <s v="Rio de Janeiro"/>
    <x v="0"/>
    <x v="1"/>
    <d v="2025-04-11T00:00:00"/>
    <x v="0"/>
    <n v="449.9"/>
    <s v="Los Angeles Lakers"/>
  </r>
  <r>
    <n v="1340"/>
    <s v="Mariana Almeida"/>
    <x v="0"/>
    <s v="Brasília"/>
    <x v="2"/>
    <x v="2"/>
    <d v="2025-04-14T00:00:00"/>
    <x v="1"/>
    <n v="24.9"/>
    <s v="Phoenix Suns"/>
  </r>
  <r>
    <n v="1341"/>
    <s v="Bruno Oliveira"/>
    <x v="1"/>
    <s v="Manaus"/>
    <x v="4"/>
    <x v="1"/>
    <d v="2025-04-17T00:00:00"/>
    <x v="0"/>
    <n v="449.9"/>
    <s v="Los Angeles Lakers"/>
  </r>
  <r>
    <n v="1342"/>
    <s v="Bruno Santos"/>
    <x v="1"/>
    <s v="Porto Alegre"/>
    <x v="3"/>
    <x v="3"/>
    <d v="2025-04-20T00:00:00"/>
    <x v="1"/>
    <n v="39.9"/>
    <s v="Miami Heat"/>
  </r>
  <r>
    <n v="1343"/>
    <s v="Pedro Gomes"/>
    <x v="1"/>
    <s v="Belém"/>
    <x v="4"/>
    <x v="2"/>
    <d v="2025-04-23T00:00:00"/>
    <x v="1"/>
    <n v="24.9"/>
    <s v="Dallas Mavericks"/>
  </r>
  <r>
    <n v="1344"/>
    <s v="Beatriz Santos"/>
    <x v="0"/>
    <s v="Maceió"/>
    <x v="1"/>
    <x v="3"/>
    <d v="2025-04-26T00:00:00"/>
    <x v="0"/>
    <n v="299.89999999999998"/>
    <s v="Miami Heat"/>
  </r>
  <r>
    <n v="1345"/>
    <s v="Pedro Gomes"/>
    <x v="2"/>
    <s v="Recife"/>
    <x v="1"/>
    <x v="0"/>
    <d v="2025-04-29T00:00:00"/>
    <x v="2"/>
    <n v="489.9"/>
    <s v="Not specified"/>
  </r>
  <r>
    <n v="1346"/>
    <s v="Bruno Lima"/>
    <x v="1"/>
    <s v="São Luís"/>
    <x v="1"/>
    <x v="3"/>
    <d v="2025-05-02T00:00:00"/>
    <x v="1"/>
    <n v="39.9"/>
    <s v="Phoenix Suns"/>
  </r>
  <r>
    <n v="1347"/>
    <s v="Mateus Monteiro"/>
    <x v="1"/>
    <s v="Cuiabá"/>
    <x v="2"/>
    <x v="0"/>
    <d v="2025-05-05T00:00:00"/>
    <x v="0"/>
    <n v="599.9"/>
    <s v="Denver Nuggets"/>
  </r>
  <r>
    <n v="1348"/>
    <s v="Mateus Lima"/>
    <x v="1"/>
    <s v="Porto Alegre"/>
    <x v="3"/>
    <x v="3"/>
    <d v="2025-05-08T00:00:00"/>
    <x v="0"/>
    <n v="299.89999999999998"/>
    <s v="Dallas Mavericks"/>
  </r>
  <r>
    <n v="1349"/>
    <s v="Fernanda Monteiro"/>
    <x v="0"/>
    <s v="Porto Alegre"/>
    <x v="3"/>
    <x v="0"/>
    <d v="2025-05-11T00:00:00"/>
    <x v="1"/>
    <n v="74.900000000000006"/>
    <s v="Los Angeles Lakers"/>
  </r>
  <r>
    <n v="1350"/>
    <s v="Mateus Monteiro"/>
    <x v="1"/>
    <s v="Rio de Janeiro"/>
    <x v="0"/>
    <x v="1"/>
    <d v="2025-05-14T00:00:00"/>
    <x v="2"/>
    <n v="349.9"/>
    <s v="Brooklyn Nets"/>
  </r>
  <r>
    <n v="1351"/>
    <s v="Juliana Silva"/>
    <x v="0"/>
    <s v="Curitiba"/>
    <x v="3"/>
    <x v="3"/>
    <d v="2025-05-17T00:00:00"/>
    <x v="1"/>
    <n v="39.9"/>
    <s v="Boston Celtics"/>
  </r>
  <r>
    <n v="1352"/>
    <s v="Bruno Rodrigues"/>
    <x v="1"/>
    <s v="São Paulo"/>
    <x v="0"/>
    <x v="2"/>
    <d v="2025-05-20T00:00:00"/>
    <x v="1"/>
    <n v="24.9"/>
    <s v="Brooklyn Nets"/>
  </r>
  <r>
    <n v="1353"/>
    <s v="Pedro Silva"/>
    <x v="1"/>
    <s v="Fortaleza"/>
    <x v="1"/>
    <x v="2"/>
    <d v="2025-05-23T00:00:00"/>
    <x v="0"/>
    <n v="199.9"/>
    <s v="Dallas Mavericks"/>
  </r>
  <r>
    <n v="1354"/>
    <s v="Ana Rodrigues"/>
    <x v="2"/>
    <s v="Manaus"/>
    <x v="4"/>
    <x v="2"/>
    <d v="2025-05-26T00:00:00"/>
    <x v="0"/>
    <n v="199.9"/>
    <s v="Miami Heat"/>
  </r>
  <r>
    <n v="1355"/>
    <s v="Lucas Pereira"/>
    <x v="2"/>
    <s v="Fortaleza"/>
    <x v="1"/>
    <x v="3"/>
    <d v="2025-05-29T00:00:00"/>
    <x v="0"/>
    <n v="299.89999999999998"/>
    <s v="Not specified"/>
  </r>
  <r>
    <n v="1356"/>
    <s v="Mariana Santos"/>
    <x v="0"/>
    <s v="Curitiba"/>
    <x v="3"/>
    <x v="2"/>
    <d v="2025-06-01T00:00:00"/>
    <x v="0"/>
    <n v="199.9"/>
    <s v="Boston Celtics"/>
  </r>
  <r>
    <n v="1357"/>
    <s v="Lucas Oliveira"/>
    <x v="1"/>
    <s v="Rio de Janeiro"/>
    <x v="0"/>
    <x v="0"/>
    <d v="2025-06-04T00:00:00"/>
    <x v="0"/>
    <n v="599.9"/>
    <s v="Miami Heat"/>
  </r>
  <r>
    <n v="1358"/>
    <s v="Larissa Pereira"/>
    <x v="0"/>
    <s v="Curitiba"/>
    <x v="3"/>
    <x v="0"/>
    <d v="2025-06-07T00:00:00"/>
    <x v="1"/>
    <n v="74.900000000000006"/>
    <s v="Phoenix Suns"/>
  </r>
  <r>
    <n v="1359"/>
    <s v="Beatriz Silva"/>
    <x v="0"/>
    <s v="São Paulo"/>
    <x v="0"/>
    <x v="0"/>
    <d v="2025-06-11T00:00:00"/>
    <x v="1"/>
    <n v="74.900000000000006"/>
    <s v="Phoenix Suns"/>
  </r>
  <r>
    <n v="1360"/>
    <s v="Lucas Lima"/>
    <x v="2"/>
    <s v="Natal"/>
    <x v="1"/>
    <x v="3"/>
    <d v="2025-06-14T00:00:00"/>
    <x v="1"/>
    <n v="39.9"/>
    <s v="Denver Nuggets"/>
  </r>
  <r>
    <n v="1361"/>
    <s v="Pedro Monteiro"/>
    <x v="1"/>
    <s v="Campinas"/>
    <x v="0"/>
    <x v="0"/>
    <d v="2025-06-17T00:00:00"/>
    <x v="2"/>
    <n v="489.9"/>
    <s v="Brooklyn Nets"/>
  </r>
  <r>
    <n v="1362"/>
    <s v="Beatriz Pereira"/>
    <x v="2"/>
    <s v="Campinas"/>
    <x v="0"/>
    <x v="1"/>
    <d v="2025-06-20T00:00:00"/>
    <x v="2"/>
    <n v="349.9"/>
    <s v="Denver Nuggets"/>
  </r>
  <r>
    <n v="1363"/>
    <s v="Bianca Souza"/>
    <x v="0"/>
    <s v="São Luís"/>
    <x v="1"/>
    <x v="0"/>
    <d v="2025-06-23T00:00:00"/>
    <x v="1"/>
    <n v="74.900000000000006"/>
    <s v="Brooklyn Nets"/>
  </r>
  <r>
    <n v="1364"/>
    <s v="Patrícia Almeida"/>
    <x v="0"/>
    <s v="Teresina"/>
    <x v="1"/>
    <x v="2"/>
    <d v="2025-06-26T00:00:00"/>
    <x v="1"/>
    <n v="24.9"/>
    <s v="Los Angeles Lakers"/>
  </r>
  <r>
    <n v="1365"/>
    <s v="Carlos Almeida"/>
    <x v="1"/>
    <s v="Campinas"/>
    <x v="0"/>
    <x v="3"/>
    <d v="2025-06-29T00:00:00"/>
    <x v="1"/>
    <n v="39.9"/>
    <s v="Boston Celtics"/>
  </r>
  <r>
    <n v="1366"/>
    <s v="Pedro Rodrigues"/>
    <x v="1"/>
    <s v="Goiânia"/>
    <x v="2"/>
    <x v="1"/>
    <d v="2025-07-02T00:00:00"/>
    <x v="2"/>
    <n v="349.9"/>
    <s v="Dallas Mavericks"/>
  </r>
  <r>
    <n v="1367"/>
    <s v="Renata Souza"/>
    <x v="0"/>
    <s v="Natal"/>
    <x v="1"/>
    <x v="1"/>
    <d v="2025-07-05T00:00:00"/>
    <x v="1"/>
    <n v="54.9"/>
    <s v="Dallas Mavericks"/>
  </r>
  <r>
    <n v="1368"/>
    <s v="Gabriel Oliveira"/>
    <x v="1"/>
    <s v="Recife"/>
    <x v="1"/>
    <x v="3"/>
    <d v="2025-07-08T00:00:00"/>
    <x v="0"/>
    <n v="299.89999999999998"/>
    <s v="Phoenix Suns"/>
  </r>
  <r>
    <n v="1369"/>
    <s v="Beatriz Lima"/>
    <x v="0"/>
    <s v="Salvador"/>
    <x v="1"/>
    <x v="3"/>
    <d v="2025-07-11T00:00:00"/>
    <x v="1"/>
    <n v="39.9"/>
    <s v="Not specified"/>
  </r>
  <r>
    <n v="1370"/>
    <s v="Fernanda Monteiro"/>
    <x v="0"/>
    <s v="Rio de Janeiro"/>
    <x v="0"/>
    <x v="1"/>
    <d v="2025-07-14T00:00:00"/>
    <x v="2"/>
    <n v="349.9"/>
    <s v="Miami Heat"/>
  </r>
  <r>
    <n v="1371"/>
    <s v="Gabriel Rodrigues"/>
    <x v="1"/>
    <s v="Belém"/>
    <x v="4"/>
    <x v="1"/>
    <d v="2025-07-17T00:00:00"/>
    <x v="2"/>
    <n v="349.9"/>
    <s v="Phoenix Suns"/>
  </r>
  <r>
    <n v="1372"/>
    <s v="João Souza"/>
    <x v="1"/>
    <s v="Porto Alegre"/>
    <x v="3"/>
    <x v="3"/>
    <d v="2025-07-20T00:00:00"/>
    <x v="1"/>
    <n v="39.9"/>
    <s v="Milwaukee Bucks"/>
  </r>
  <r>
    <n v="1373"/>
    <s v="Patrícia Gomes"/>
    <x v="0"/>
    <s v="João Pessoa"/>
    <x v="1"/>
    <x v="2"/>
    <d v="2025-07-23T00:00:00"/>
    <x v="0"/>
    <n v="199.9"/>
    <s v="Not specified"/>
  </r>
  <r>
    <n v="1374"/>
    <s v="Mariana Monteiro"/>
    <x v="0"/>
    <s v="Belém"/>
    <x v="4"/>
    <x v="3"/>
    <d v="2025-07-26T00:00:00"/>
    <x v="1"/>
    <n v="39.9"/>
    <s v="Milwaukee Bucks"/>
  </r>
  <r>
    <n v="1375"/>
    <s v="Carlos Oliveira"/>
    <x v="1"/>
    <s v="São Paulo"/>
    <x v="0"/>
    <x v="2"/>
    <d v="2025-07-29T00:00:00"/>
    <x v="0"/>
    <n v="199.9"/>
    <s v="Chicago Bulls"/>
  </r>
  <r>
    <n v="1376"/>
    <s v="Carlos Santos"/>
    <x v="1"/>
    <s v="Belém"/>
    <x v="4"/>
    <x v="2"/>
    <d v="2025-08-01T00:00:00"/>
    <x v="0"/>
    <n v="199.9"/>
    <s v="Phoenix Suns"/>
  </r>
  <r>
    <n v="1377"/>
    <s v="Diego Almeida"/>
    <x v="1"/>
    <s v="Teresina"/>
    <x v="1"/>
    <x v="0"/>
    <d v="2025-08-04T00:00:00"/>
    <x v="1"/>
    <n v="74.900000000000006"/>
    <s v="Milwaukee Bucks"/>
  </r>
  <r>
    <n v="1378"/>
    <s v="Fernanda Almeida"/>
    <x v="0"/>
    <s v="João Pessoa"/>
    <x v="1"/>
    <x v="2"/>
    <d v="2025-08-07T00:00:00"/>
    <x v="1"/>
    <n v="24.9"/>
    <s v="Boston Celtics"/>
  </r>
  <r>
    <n v="1379"/>
    <s v="Pedro Lima"/>
    <x v="2"/>
    <s v="Campinas"/>
    <x v="0"/>
    <x v="0"/>
    <d v="2025-08-10T00:00:00"/>
    <x v="0"/>
    <n v="599.9"/>
    <s v="Brooklyn Nets"/>
  </r>
  <r>
    <n v="1380"/>
    <s v="Diego Souza"/>
    <x v="1"/>
    <s v="São Luís"/>
    <x v="1"/>
    <x v="2"/>
    <d v="2025-08-13T00:00:00"/>
    <x v="1"/>
    <n v="24.9"/>
    <s v="Boston Celtics"/>
  </r>
  <r>
    <n v="1381"/>
    <s v="Bruno Pereira"/>
    <x v="1"/>
    <s v="São Luís"/>
    <x v="1"/>
    <x v="2"/>
    <d v="2025-08-16T00:00:00"/>
    <x v="0"/>
    <n v="199.9"/>
    <s v="Milwaukee Bucks"/>
  </r>
  <r>
    <n v="1382"/>
    <s v="Bianca Almeida"/>
    <x v="0"/>
    <s v="João Pessoa"/>
    <x v="1"/>
    <x v="3"/>
    <d v="2025-08-20T00:00:00"/>
    <x v="1"/>
    <n v="39.9"/>
    <s v="Phoenix Suns"/>
  </r>
  <r>
    <n v="1383"/>
    <s v="Larissa Santos"/>
    <x v="0"/>
    <s v="Recife"/>
    <x v="1"/>
    <x v="3"/>
    <d v="2025-08-23T00:00:00"/>
    <x v="0"/>
    <n v="299.89999999999998"/>
    <s v="Chicago Bulls"/>
  </r>
  <r>
    <n v="1384"/>
    <s v="Pedro Almeida"/>
    <x v="1"/>
    <s v="Cuiabá"/>
    <x v="2"/>
    <x v="1"/>
    <d v="2025-08-26T00:00:00"/>
    <x v="1"/>
    <n v="54.9"/>
    <s v="Brooklyn Nets"/>
  </r>
  <r>
    <n v="1385"/>
    <s v="Mateus Silva"/>
    <x v="1"/>
    <s v="Campo Grande"/>
    <x v="2"/>
    <x v="0"/>
    <d v="2025-08-29T00:00:00"/>
    <x v="1"/>
    <n v="74.900000000000006"/>
    <s v="Dallas Mavericks"/>
  </r>
  <r>
    <n v="1386"/>
    <s v="Mateus Silva"/>
    <x v="1"/>
    <s v="Teresina"/>
    <x v="1"/>
    <x v="1"/>
    <d v="2025-09-01T00:00:00"/>
    <x v="1"/>
    <n v="54.9"/>
    <s v="Brooklyn Nets"/>
  </r>
  <r>
    <n v="1387"/>
    <s v="Mateus Lima"/>
    <x v="1"/>
    <s v="São Paulo"/>
    <x v="0"/>
    <x v="1"/>
    <d v="2025-09-04T00:00:00"/>
    <x v="0"/>
    <n v="449.9"/>
    <s v="Los Angeles Lakers"/>
  </r>
  <r>
    <n v="1388"/>
    <s v="Mateus Lima"/>
    <x v="1"/>
    <s v="Maceió"/>
    <x v="1"/>
    <x v="1"/>
    <d v="2025-09-07T00:00:00"/>
    <x v="0"/>
    <n v="449.9"/>
    <s v="Phoenix Suns"/>
  </r>
  <r>
    <n v="1389"/>
    <s v="Diego Gomes"/>
    <x v="2"/>
    <s v="Maceió"/>
    <x v="1"/>
    <x v="0"/>
    <d v="2025-09-10T00:00:00"/>
    <x v="2"/>
    <n v="489.9"/>
    <s v="Los Angeles Lakers"/>
  </r>
  <r>
    <n v="1390"/>
    <s v="Gabriel Souza"/>
    <x v="2"/>
    <s v="Belo Horizonte"/>
    <x v="0"/>
    <x v="0"/>
    <d v="2025-09-13T00:00:00"/>
    <x v="1"/>
    <n v="74.900000000000006"/>
    <s v="Denver Nuggets"/>
  </r>
  <r>
    <n v="1391"/>
    <s v="Carlos Monteiro"/>
    <x v="1"/>
    <s v="Cuiabá"/>
    <x v="2"/>
    <x v="3"/>
    <d v="2025-09-16T00:00:00"/>
    <x v="1"/>
    <n v="39.9"/>
    <s v="Dallas Mavericks"/>
  </r>
  <r>
    <n v="1392"/>
    <s v="Pedro Oliveira"/>
    <x v="1"/>
    <s v="Belém"/>
    <x v="4"/>
    <x v="2"/>
    <d v="2025-09-19T00:00:00"/>
    <x v="0"/>
    <n v="199.9"/>
    <s v="Dallas Mavericks"/>
  </r>
  <r>
    <n v="1393"/>
    <s v="Larissa Gomes"/>
    <x v="0"/>
    <s v="Salvador"/>
    <x v="1"/>
    <x v="3"/>
    <d v="2025-09-22T00:00:00"/>
    <x v="1"/>
    <n v="39.9"/>
    <s v="Golden State Warriors"/>
  </r>
  <r>
    <n v="1394"/>
    <s v="Beatriz Pereira"/>
    <x v="0"/>
    <s v="Goiânia"/>
    <x v="2"/>
    <x v="2"/>
    <d v="2025-09-25T00:00:00"/>
    <x v="1"/>
    <n v="24.9"/>
    <s v="Dallas Mavericks"/>
  </r>
  <r>
    <n v="1395"/>
    <s v="Patrícia Pereira"/>
    <x v="0"/>
    <s v="Brasília"/>
    <x v="2"/>
    <x v="0"/>
    <d v="2025-09-28T00:00:00"/>
    <x v="0"/>
    <n v="599.9"/>
    <s v="Dallas Mavericks"/>
  </r>
  <r>
    <n v="1396"/>
    <s v="Thiago Pereira"/>
    <x v="1"/>
    <s v="Rio de Janeiro"/>
    <x v="0"/>
    <x v="0"/>
    <d v="2025-10-01T00:00:00"/>
    <x v="0"/>
    <n v="599.9"/>
    <s v="Denver Nuggets"/>
  </r>
  <r>
    <n v="1397"/>
    <s v="Bruno Santos"/>
    <x v="1"/>
    <s v="São Paulo"/>
    <x v="0"/>
    <x v="1"/>
    <d v="2025-10-04T00:00:00"/>
    <x v="0"/>
    <n v="449.9"/>
    <s v="Los Angeles Lakers"/>
  </r>
  <r>
    <n v="1398"/>
    <s v="Pedro Oliveira"/>
    <x v="1"/>
    <s v="Campo Grande"/>
    <x v="2"/>
    <x v="2"/>
    <d v="2025-10-07T00:00:00"/>
    <x v="0"/>
    <n v="199.9"/>
    <s v="Golden State Warriors"/>
  </r>
  <r>
    <n v="1399"/>
    <s v="Patrícia Pereira"/>
    <x v="0"/>
    <s v="Recife"/>
    <x v="1"/>
    <x v="3"/>
    <d v="2025-10-10T00:00:00"/>
    <x v="0"/>
    <n v="299.89999999999998"/>
    <s v="Dallas Mavericks"/>
  </r>
  <r>
    <n v="1400"/>
    <s v="Bruno Monteiro"/>
    <x v="1"/>
    <s v="Campinas"/>
    <x v="0"/>
    <x v="2"/>
    <d v="2025-10-13T00:00:00"/>
    <x v="0"/>
    <n v="199.9"/>
    <s v="Phoenix Suns"/>
  </r>
  <r>
    <n v="1401"/>
    <s v="Juliana Almeida"/>
    <x v="0"/>
    <s v="Porto Alegre"/>
    <x v="3"/>
    <x v="1"/>
    <d v="2025-10-16T00:00:00"/>
    <x v="2"/>
    <n v="349.9"/>
    <s v="Brooklyn Nets"/>
  </r>
  <r>
    <n v="1402"/>
    <s v="João Lima"/>
    <x v="1"/>
    <s v="Fortaleza"/>
    <x v="1"/>
    <x v="3"/>
    <d v="2025-10-19T00:00:00"/>
    <x v="0"/>
    <n v="299.89999999999998"/>
    <s v="Milwaukee Bucks"/>
  </r>
  <r>
    <n v="1403"/>
    <s v="Ana Santos"/>
    <x v="0"/>
    <s v="Cuiabá"/>
    <x v="2"/>
    <x v="0"/>
    <d v="2025-10-22T00:00:00"/>
    <x v="2"/>
    <n v="489.9"/>
    <s v="Miami Heat"/>
  </r>
  <r>
    <n v="1404"/>
    <s v="Bianca Gomes"/>
    <x v="0"/>
    <s v="Salvador"/>
    <x v="1"/>
    <x v="1"/>
    <d v="2025-10-25T00:00:00"/>
    <x v="2"/>
    <n v="349.9"/>
    <s v="Phoenix Suns"/>
  </r>
  <r>
    <n v="1405"/>
    <s v="Thiago Lima"/>
    <x v="1"/>
    <s v="Recife"/>
    <x v="1"/>
    <x v="1"/>
    <d v="2025-10-28T00:00:00"/>
    <x v="1"/>
    <n v="54.9"/>
    <s v="Los Angeles Lakers"/>
  </r>
  <r>
    <n v="1406"/>
    <s v="João Santos"/>
    <x v="1"/>
    <s v="Belém"/>
    <x v="4"/>
    <x v="1"/>
    <d v="2025-10-31T00:00:00"/>
    <x v="0"/>
    <n v="449.9"/>
    <s v="Denver Nuggets"/>
  </r>
  <r>
    <n v="1407"/>
    <s v="Mariana Almeida"/>
    <x v="0"/>
    <s v="São Luís"/>
    <x v="1"/>
    <x v="2"/>
    <d v="2025-11-03T00:00:00"/>
    <x v="0"/>
    <n v="199.9"/>
    <s v="Not specified"/>
  </r>
  <r>
    <n v="1408"/>
    <s v="Lucas Rodrigues"/>
    <x v="1"/>
    <s v="Cuiabá"/>
    <x v="2"/>
    <x v="2"/>
    <d v="2025-11-06T00:00:00"/>
    <x v="0"/>
    <n v="199.9"/>
    <s v="Miami Heat"/>
  </r>
  <r>
    <n v="1409"/>
    <s v="Patrícia Gomes"/>
    <x v="0"/>
    <s v="São Luís"/>
    <x v="1"/>
    <x v="3"/>
    <d v="2025-11-08T00:00:00"/>
    <x v="0"/>
    <n v="299.89999999999998"/>
    <s v="Los Angeles Lakers"/>
  </r>
  <r>
    <n v="1410"/>
    <s v="Lucas Souza"/>
    <x v="1"/>
    <s v="Cuiabá"/>
    <x v="2"/>
    <x v="0"/>
    <d v="2025-11-11T00:00:00"/>
    <x v="2"/>
    <n v="489.9"/>
    <s v="Milwaukee Bucks"/>
  </r>
  <r>
    <n v="1411"/>
    <s v="Lucas Lima"/>
    <x v="1"/>
    <s v="Teresina"/>
    <x v="1"/>
    <x v="2"/>
    <d v="2025-11-14T00:00:00"/>
    <x v="1"/>
    <n v="24.9"/>
    <s v="Dallas Mavericks"/>
  </r>
  <r>
    <n v="1412"/>
    <s v="Pedro Monteiro"/>
    <x v="1"/>
    <s v="Cuiabá"/>
    <x v="2"/>
    <x v="2"/>
    <d v="2025-11-17T00:00:00"/>
    <x v="0"/>
    <n v="199.9"/>
    <s v="Not specified"/>
  </r>
  <r>
    <n v="1413"/>
    <s v="Camila Lima"/>
    <x v="0"/>
    <s v="São Luís"/>
    <x v="1"/>
    <x v="0"/>
    <d v="2025-11-20T00:00:00"/>
    <x v="2"/>
    <n v="489.9"/>
    <s v="Phoenix Suns"/>
  </r>
  <r>
    <n v="1414"/>
    <s v="Mariana Gomes"/>
    <x v="2"/>
    <s v="São Paulo"/>
    <x v="0"/>
    <x v="2"/>
    <d v="2025-11-23T00:00:00"/>
    <x v="0"/>
    <n v="199.9"/>
    <s v="Miami Heat"/>
  </r>
  <r>
    <n v="1415"/>
    <s v="Lucas Rodrigues"/>
    <x v="1"/>
    <s v="Salvador"/>
    <x v="1"/>
    <x v="2"/>
    <d v="2025-11-26T00:00:00"/>
    <x v="1"/>
    <n v="24.9"/>
    <s v="Phoenix Suns"/>
  </r>
  <r>
    <n v="1416"/>
    <s v="Mariana Almeida"/>
    <x v="0"/>
    <s v="Campinas"/>
    <x v="0"/>
    <x v="0"/>
    <d v="2025-11-29T00:00:00"/>
    <x v="1"/>
    <n v="74.900000000000006"/>
    <s v="Chicago Bulls"/>
  </r>
  <r>
    <n v="1417"/>
    <s v="Ana Monteiro"/>
    <x v="0"/>
    <s v="Campo Grande"/>
    <x v="2"/>
    <x v="2"/>
    <d v="2025-12-02T00:00:00"/>
    <x v="0"/>
    <n v="199.9"/>
    <s v="Miami Heat"/>
  </r>
  <r>
    <n v="1418"/>
    <s v="Diego Silva"/>
    <x v="1"/>
    <s v="São Paulo"/>
    <x v="0"/>
    <x v="2"/>
    <d v="2025-12-05T00:00:00"/>
    <x v="0"/>
    <n v="199.9"/>
    <s v="Los Angeles Lakers"/>
  </r>
  <r>
    <n v="1419"/>
    <s v="Thiago Monteiro"/>
    <x v="1"/>
    <s v="João Pessoa"/>
    <x v="1"/>
    <x v="0"/>
    <d v="2025-12-08T00:00:00"/>
    <x v="0"/>
    <n v="599.9"/>
    <s v="Brooklyn Nets"/>
  </r>
  <r>
    <n v="1420"/>
    <s v="Ana Gomes"/>
    <x v="0"/>
    <s v="Campinas"/>
    <x v="0"/>
    <x v="1"/>
    <d v="2025-12-11T00:00:00"/>
    <x v="0"/>
    <n v="449.9"/>
    <s v="Dallas Mavericks"/>
  </r>
  <r>
    <n v="1421"/>
    <s v="Thiago Pereira"/>
    <x v="1"/>
    <s v="Belém"/>
    <x v="4"/>
    <x v="1"/>
    <d v="2025-12-14T00:00:00"/>
    <x v="0"/>
    <n v="449.9"/>
    <s v="Los Angeles Lakers"/>
  </r>
  <r>
    <n v="1422"/>
    <s v="Diego Rodrigues"/>
    <x v="1"/>
    <s v="Teresina"/>
    <x v="1"/>
    <x v="3"/>
    <d v="2025-03-05T00:00:00"/>
    <x v="0"/>
    <n v="299.89999999999998"/>
    <s v="Not specified"/>
  </r>
  <r>
    <n v="1423"/>
    <s v="Pedro Oliveira"/>
    <x v="1"/>
    <s v="Belo Horizonte"/>
    <x v="0"/>
    <x v="3"/>
    <d v="2025-03-08T00:00:00"/>
    <x v="1"/>
    <n v="39.9"/>
    <s v="Phoenix Suns"/>
  </r>
  <r>
    <n v="1424"/>
    <s v="Renata Monteiro"/>
    <x v="0"/>
    <s v="Curitiba"/>
    <x v="3"/>
    <x v="1"/>
    <d v="2025-03-11T00:00:00"/>
    <x v="1"/>
    <n v="54.9"/>
    <s v="Los Angeles Lakers"/>
  </r>
  <r>
    <n v="1425"/>
    <s v="Ana Gomes"/>
    <x v="0"/>
    <s v="São Luís"/>
    <x v="1"/>
    <x v="2"/>
    <d v="2025-03-14T00:00:00"/>
    <x v="1"/>
    <n v="24.9"/>
    <s v="Denver Nuggets"/>
  </r>
  <r>
    <n v="1426"/>
    <s v="Fernanda Lima"/>
    <x v="0"/>
    <s v="Manaus"/>
    <x v="4"/>
    <x v="2"/>
    <d v="2025-03-17T00:00:00"/>
    <x v="1"/>
    <n v="24.9"/>
    <s v="Miami Heat"/>
  </r>
  <r>
    <n v="1427"/>
    <s v="Gabriel Oliveira"/>
    <x v="1"/>
    <s v="Salvador"/>
    <x v="1"/>
    <x v="3"/>
    <d v="2025-03-20T00:00:00"/>
    <x v="0"/>
    <n v="299.89999999999998"/>
    <s v="Chicago Bulls"/>
  </r>
  <r>
    <n v="1428"/>
    <s v="Fernanda Souza"/>
    <x v="0"/>
    <s v="Maceió"/>
    <x v="1"/>
    <x v="2"/>
    <d v="2025-03-23T00:00:00"/>
    <x v="0"/>
    <n v="199.9"/>
    <s v="Not specified"/>
  </r>
  <r>
    <n v="1429"/>
    <s v="Juliana Santos"/>
    <x v="0"/>
    <s v="São Luís"/>
    <x v="1"/>
    <x v="1"/>
    <d v="2025-03-26T00:00:00"/>
    <x v="0"/>
    <n v="449.9"/>
    <s v="Boston Celtics"/>
  </r>
  <r>
    <n v="1430"/>
    <s v="Patrícia Oliveira"/>
    <x v="0"/>
    <s v="São Paulo"/>
    <x v="0"/>
    <x v="1"/>
    <d v="2025-03-29T00:00:00"/>
    <x v="0"/>
    <n v="449.9"/>
    <s v="Los Angeles Lakers"/>
  </r>
  <r>
    <n v="1431"/>
    <s v="Patrícia Gomes"/>
    <x v="0"/>
    <s v="Brasília"/>
    <x v="2"/>
    <x v="2"/>
    <d v="2025-04-02T00:00:00"/>
    <x v="1"/>
    <n v="24.9"/>
    <s v="Denver Nuggets"/>
  </r>
  <r>
    <n v="1432"/>
    <s v="Mateus Pereira"/>
    <x v="1"/>
    <s v="Brasília"/>
    <x v="2"/>
    <x v="2"/>
    <d v="2025-04-05T00:00:00"/>
    <x v="0"/>
    <n v="199.9"/>
    <s v="Miami Heat"/>
  </r>
  <r>
    <n v="1433"/>
    <s v="Mariana Santos"/>
    <x v="0"/>
    <s v="Porto Alegre"/>
    <x v="3"/>
    <x v="0"/>
    <d v="2025-04-08T00:00:00"/>
    <x v="2"/>
    <n v="489.9"/>
    <s v="Dallas Mavericks"/>
  </r>
  <r>
    <n v="1434"/>
    <s v="Pedro Gomes"/>
    <x v="1"/>
    <s v="São Luís"/>
    <x v="1"/>
    <x v="1"/>
    <d v="2025-04-11T00:00:00"/>
    <x v="1"/>
    <n v="54.9"/>
    <s v="Milwaukee Bucks"/>
  </r>
  <r>
    <n v="1435"/>
    <s v="Larissa Rodrigues"/>
    <x v="0"/>
    <s v="Maceió"/>
    <x v="1"/>
    <x v="0"/>
    <d v="2025-04-14T00:00:00"/>
    <x v="2"/>
    <n v="489.9"/>
    <s v="Boston Celtics"/>
  </r>
  <r>
    <n v="1436"/>
    <s v="Gabriel Gomes"/>
    <x v="1"/>
    <s v="João Pessoa"/>
    <x v="1"/>
    <x v="2"/>
    <d v="2025-04-17T00:00:00"/>
    <x v="0"/>
    <n v="199.9"/>
    <s v="Denver Nuggets"/>
  </r>
  <r>
    <n v="1437"/>
    <s v="Mateus Rodrigues"/>
    <x v="1"/>
    <s v="Brasília"/>
    <x v="2"/>
    <x v="2"/>
    <d v="2025-04-20T00:00:00"/>
    <x v="1"/>
    <n v="24.9"/>
    <s v="Dallas Mavericks"/>
  </r>
  <r>
    <n v="1438"/>
    <s v="Patrícia Rodrigues"/>
    <x v="0"/>
    <s v="Teresina"/>
    <x v="1"/>
    <x v="2"/>
    <d v="2025-07-14T00:00:00"/>
    <x v="1"/>
    <n v="24.9"/>
    <s v="Golden State Warriors"/>
  </r>
  <r>
    <n v="1439"/>
    <s v="Rafael Monteiro"/>
    <x v="1"/>
    <s v="Rio de Janeiro"/>
    <x v="0"/>
    <x v="3"/>
    <d v="2025-07-17T00:00:00"/>
    <x v="0"/>
    <n v="299.89999999999998"/>
    <s v="Dallas Mavericks"/>
  </r>
  <r>
    <n v="1440"/>
    <s v="Beatriz Silva"/>
    <x v="0"/>
    <s v="Natal"/>
    <x v="1"/>
    <x v="3"/>
    <d v="2025-07-20T00:00:00"/>
    <x v="1"/>
    <n v="39.9"/>
    <s v="Los Angeles Lakers"/>
  </r>
  <r>
    <n v="1441"/>
    <s v="Lucas Gomes"/>
    <x v="1"/>
    <s v="Teresina"/>
    <x v="1"/>
    <x v="2"/>
    <d v="2025-07-23T00:00:00"/>
    <x v="1"/>
    <n v="24.9"/>
    <s v="Boston Celtics"/>
  </r>
  <r>
    <n v="1442"/>
    <s v="Ana Monteiro"/>
    <x v="0"/>
    <s v="João Pessoa"/>
    <x v="1"/>
    <x v="3"/>
    <d v="2025-07-26T00:00:00"/>
    <x v="0"/>
    <n v="299.89999999999998"/>
    <s v="Dallas Mavericks"/>
  </r>
  <r>
    <n v="1443"/>
    <s v="Bruno Silva"/>
    <x v="1"/>
    <s v="Campo Grande"/>
    <x v="2"/>
    <x v="3"/>
    <d v="2025-07-29T00:00:00"/>
    <x v="0"/>
    <n v="299.89999999999998"/>
    <s v="Miami Heat"/>
  </r>
  <r>
    <n v="1444"/>
    <s v="Rafael Gomes"/>
    <x v="1"/>
    <s v="Goiânia"/>
    <x v="2"/>
    <x v="2"/>
    <d v="2025-08-01T00:00:00"/>
    <x v="1"/>
    <n v="24.9"/>
    <s v="Los Angeles Lakers"/>
  </r>
  <r>
    <n v="1445"/>
    <s v="Rafael Pereira"/>
    <x v="1"/>
    <s v="Natal"/>
    <x v="1"/>
    <x v="1"/>
    <d v="2025-08-04T00:00:00"/>
    <x v="2"/>
    <n v="349.9"/>
    <s v="Brooklyn Nets"/>
  </r>
  <r>
    <n v="1446"/>
    <s v="Diego Monteiro"/>
    <x v="1"/>
    <s v="Cuiabá"/>
    <x v="2"/>
    <x v="2"/>
    <d v="2025-08-07T00:00:00"/>
    <x v="1"/>
    <n v="24.9"/>
    <s v="Boston Celtics"/>
  </r>
  <r>
    <n v="1447"/>
    <s v="Mateus Lima"/>
    <x v="1"/>
    <s v="São Luís"/>
    <x v="1"/>
    <x v="2"/>
    <d v="2025-08-10T00:00:00"/>
    <x v="1"/>
    <n v="24.9"/>
    <s v="Dallas Mavericks"/>
  </r>
  <r>
    <n v="1448"/>
    <s v="Diego Almeida"/>
    <x v="1"/>
    <s v="Belo Horizonte"/>
    <x v="0"/>
    <x v="1"/>
    <d v="2025-08-13T00:00:00"/>
    <x v="2"/>
    <n v="349.9"/>
    <s v="Milwaukee Bucks"/>
  </r>
  <r>
    <n v="1449"/>
    <s v="Mateus Oliveira"/>
    <x v="1"/>
    <s v="Maceió"/>
    <x v="1"/>
    <x v="1"/>
    <d v="2025-08-16T00:00:00"/>
    <x v="2"/>
    <n v="349.9"/>
    <s v="Los Angeles Lakers"/>
  </r>
  <r>
    <n v="1450"/>
    <s v="Camila Lima"/>
    <x v="0"/>
    <s v="Curitiba"/>
    <x v="3"/>
    <x v="0"/>
    <d v="2025-08-20T00:00:00"/>
    <x v="1"/>
    <n v="74.900000000000006"/>
    <s v="Golden State Warriors"/>
  </r>
  <r>
    <n v="1451"/>
    <s v="Ana Santos"/>
    <x v="2"/>
    <s v="Goiânia"/>
    <x v="2"/>
    <x v="1"/>
    <d v="2025-08-23T00:00:00"/>
    <x v="0"/>
    <n v="449.9"/>
    <s v="Miami Heat"/>
  </r>
  <r>
    <n v="1452"/>
    <s v="Patrícia Oliveira"/>
    <x v="0"/>
    <s v="Curitiba"/>
    <x v="3"/>
    <x v="0"/>
    <d v="2025-08-26T00:00:00"/>
    <x v="1"/>
    <n v="74.900000000000006"/>
    <s v="Golden State Warriors"/>
  </r>
  <r>
    <n v="1453"/>
    <s v="Bruno Gomes"/>
    <x v="1"/>
    <s v="Manaus"/>
    <x v="4"/>
    <x v="2"/>
    <d v="2025-03-11T00:00:00"/>
    <x v="1"/>
    <n v="24.9"/>
    <s v="Denver Nuggets"/>
  </r>
  <r>
    <n v="1454"/>
    <s v="Mariana Souza"/>
    <x v="0"/>
    <s v="Campo Grande"/>
    <x v="2"/>
    <x v="1"/>
    <d v="2025-03-14T00:00:00"/>
    <x v="2"/>
    <n v="349.9"/>
    <s v="Chicago Bulls"/>
  </r>
  <r>
    <n v="1455"/>
    <s v="Thiago Almeida"/>
    <x v="1"/>
    <s v="Porto Alegre"/>
    <x v="3"/>
    <x v="3"/>
    <d v="2025-03-17T00:00:00"/>
    <x v="0"/>
    <n v="299.89999999999998"/>
    <s v="Miami Heat"/>
  </r>
  <r>
    <n v="1456"/>
    <s v="Mateus Silva"/>
    <x v="1"/>
    <s v="Fortaleza"/>
    <x v="1"/>
    <x v="1"/>
    <d v="2025-03-20T00:00:00"/>
    <x v="2"/>
    <n v="349.9"/>
    <s v="Boston Celtics"/>
  </r>
  <r>
    <n v="1457"/>
    <s v="Diego Gomes"/>
    <x v="1"/>
    <s v="Salvador"/>
    <x v="1"/>
    <x v="1"/>
    <d v="2025-03-23T00:00:00"/>
    <x v="0"/>
    <n v="449.9"/>
    <s v="Denver Nuggets"/>
  </r>
  <r>
    <n v="1458"/>
    <s v="Ana Silva"/>
    <x v="0"/>
    <s v="João Pessoa"/>
    <x v="1"/>
    <x v="2"/>
    <d v="2025-03-26T00:00:00"/>
    <x v="1"/>
    <n v="24.9"/>
    <s v="Chicago Bulls"/>
  </r>
  <r>
    <n v="1459"/>
    <s v="Gabriel Oliveira"/>
    <x v="1"/>
    <s v="Goiânia"/>
    <x v="2"/>
    <x v="2"/>
    <d v="2025-03-29T00:00:00"/>
    <x v="0"/>
    <n v="199.9"/>
    <s v="Denver Nuggets"/>
  </r>
  <r>
    <n v="1460"/>
    <s v="Lucas Gomes"/>
    <x v="1"/>
    <s v="Manaus"/>
    <x v="4"/>
    <x v="3"/>
    <d v="2025-04-02T00:00:00"/>
    <x v="1"/>
    <n v="39.9"/>
    <s v="Milwaukee Bucks"/>
  </r>
  <r>
    <n v="1461"/>
    <s v="Mariana Silva"/>
    <x v="0"/>
    <s v="João Pessoa"/>
    <x v="1"/>
    <x v="3"/>
    <d v="2025-04-05T00:00:00"/>
    <x v="1"/>
    <n v="39.9"/>
    <s v="Milwaukee Bucks"/>
  </r>
  <r>
    <n v="1462"/>
    <s v="Beatriz Lima"/>
    <x v="0"/>
    <s v="Teresina"/>
    <x v="1"/>
    <x v="2"/>
    <d v="2025-04-08T00:00:00"/>
    <x v="1"/>
    <n v="24.9"/>
    <s v="Phoenix Suns"/>
  </r>
  <r>
    <n v="1463"/>
    <s v="Patrícia Santos"/>
    <x v="0"/>
    <s v="Rio de Janeiro"/>
    <x v="0"/>
    <x v="2"/>
    <d v="2025-04-11T00:00:00"/>
    <x v="0"/>
    <n v="199.9"/>
    <s v="Denver Nuggets"/>
  </r>
  <r>
    <n v="1464"/>
    <s v="Renata Gomes"/>
    <x v="0"/>
    <s v="Natal"/>
    <x v="1"/>
    <x v="2"/>
    <d v="2025-04-14T00:00:00"/>
    <x v="1"/>
    <n v="24.9"/>
    <s v="Brooklyn Nets"/>
  </r>
  <r>
    <n v="1465"/>
    <s v="Gabriel Santos"/>
    <x v="1"/>
    <s v="Porto Alegre"/>
    <x v="3"/>
    <x v="2"/>
    <d v="2025-04-17T00:00:00"/>
    <x v="0"/>
    <n v="199.9"/>
    <s v="Los Angeles Lakers"/>
  </r>
  <r>
    <n v="1466"/>
    <s v="Pedro Almeida"/>
    <x v="1"/>
    <s v="São Luís"/>
    <x v="1"/>
    <x v="1"/>
    <d v="2025-04-20T00:00:00"/>
    <x v="2"/>
    <n v="349.9"/>
    <s v="Chicago Bulls"/>
  </r>
  <r>
    <n v="1467"/>
    <s v="Larissa Lima"/>
    <x v="0"/>
    <s v="Porto Alegre"/>
    <x v="3"/>
    <x v="1"/>
    <d v="2025-07-14T00:00:00"/>
    <x v="2"/>
    <n v="349.9"/>
    <s v="Golden State Warriors"/>
  </r>
  <r>
    <n v="1468"/>
    <s v="Larissa Monteiro"/>
    <x v="0"/>
    <s v="Belém"/>
    <x v="4"/>
    <x v="3"/>
    <d v="2025-03-03T00:00:00"/>
    <x v="0"/>
    <n v="299.89999999999998"/>
    <s v="Phoenix Suns"/>
  </r>
  <r>
    <n v="1469"/>
    <s v="Rafael Monteiro"/>
    <x v="1"/>
    <s v="Campo Grande"/>
    <x v="2"/>
    <x v="3"/>
    <d v="2025-03-05T00:00:00"/>
    <x v="0"/>
    <n v="299.89999999999998"/>
    <s v="Miami Heat"/>
  </r>
  <r>
    <n v="1470"/>
    <s v="Camila Gomes"/>
    <x v="0"/>
    <s v="Recife"/>
    <x v="1"/>
    <x v="2"/>
    <d v="2025-03-08T00:00:00"/>
    <x v="1"/>
    <n v="24.9"/>
    <s v="Golden State Warriors"/>
  </r>
  <r>
    <n v="1471"/>
    <s v="Pedro Oliveira"/>
    <x v="1"/>
    <s v="Porto Alegre"/>
    <x v="3"/>
    <x v="3"/>
    <d v="2025-03-11T00:00:00"/>
    <x v="1"/>
    <n v="39.9"/>
    <s v="Phoenix Suns"/>
  </r>
  <r>
    <n v="1472"/>
    <s v="Mariana Souza"/>
    <x v="0"/>
    <s v="João Pessoa"/>
    <x v="1"/>
    <x v="2"/>
    <d v="2025-03-14T00:00:00"/>
    <x v="0"/>
    <n v="199.9"/>
    <s v="Los Angeles Lakers"/>
  </r>
  <r>
    <n v="1473"/>
    <s v="João Lima"/>
    <x v="1"/>
    <s v="São Paulo"/>
    <x v="0"/>
    <x v="0"/>
    <d v="2025-03-17T00:00:00"/>
    <x v="0"/>
    <n v="599.9"/>
    <s v="Milwaukee Bucks"/>
  </r>
  <r>
    <n v="1474"/>
    <s v="Gabriel Souza"/>
    <x v="1"/>
    <s v="Teresina"/>
    <x v="1"/>
    <x v="0"/>
    <d v="2025-03-20T00:00:00"/>
    <x v="2"/>
    <n v="489.9"/>
    <s v="Denver Nuggets"/>
  </r>
  <r>
    <n v="1475"/>
    <s v="João Monteiro"/>
    <x v="1"/>
    <s v="Belém"/>
    <x v="4"/>
    <x v="2"/>
    <d v="2025-03-23T00:00:00"/>
    <x v="0"/>
    <n v="199.9"/>
    <s v="Milwaukee Bucks"/>
  </r>
  <r>
    <n v="1476"/>
    <s v="Ana Monteiro"/>
    <x v="0"/>
    <s v="Recife"/>
    <x v="1"/>
    <x v="2"/>
    <d v="2025-03-26T00:00:00"/>
    <x v="1"/>
    <n v="24.9"/>
    <s v="Los Angeles Lakers"/>
  </r>
  <r>
    <n v="1477"/>
    <s v="Bruno Almeida"/>
    <x v="1"/>
    <s v="Salvador"/>
    <x v="1"/>
    <x v="3"/>
    <d v="2025-03-29T00:00:00"/>
    <x v="1"/>
    <n v="39.9"/>
    <s v="Dallas Mavericks"/>
  </r>
  <r>
    <n v="1478"/>
    <s v="Juliana Santos"/>
    <x v="2"/>
    <s v="Porto Alegre"/>
    <x v="3"/>
    <x v="0"/>
    <d v="2025-04-02T00:00:00"/>
    <x v="1"/>
    <n v="74.900000000000006"/>
    <s v="Golden State Warriors"/>
  </r>
  <r>
    <n v="1479"/>
    <s v="Mateus Lima"/>
    <x v="1"/>
    <s v="Recife"/>
    <x v="1"/>
    <x v="2"/>
    <d v="2025-04-05T00:00:00"/>
    <x v="0"/>
    <n v="199.9"/>
    <s v="Dallas Mavericks"/>
  </r>
  <r>
    <n v="1480"/>
    <s v="Camila Almeida"/>
    <x v="0"/>
    <s v="Campinas"/>
    <x v="0"/>
    <x v="0"/>
    <d v="2025-04-08T00:00:00"/>
    <x v="0"/>
    <n v="599.9"/>
    <s v="Denver Nuggets"/>
  </r>
  <r>
    <n v="1481"/>
    <s v="Fernanda Santos"/>
    <x v="0"/>
    <s v="João Pessoa"/>
    <x v="1"/>
    <x v="2"/>
    <d v="2025-04-11T00:00:00"/>
    <x v="0"/>
    <n v="199.9"/>
    <s v="Boston Celtics"/>
  </r>
  <r>
    <n v="1482"/>
    <s v="Thiago Almeida"/>
    <x v="1"/>
    <s v="Brasília"/>
    <x v="2"/>
    <x v="0"/>
    <d v="2025-04-14T00:00:00"/>
    <x v="1"/>
    <n v="74.900000000000006"/>
    <s v="Brooklyn Nets"/>
  </r>
  <r>
    <n v="1483"/>
    <s v="Bruno Santos"/>
    <x v="1"/>
    <s v="Cuiabá"/>
    <x v="2"/>
    <x v="2"/>
    <d v="2025-04-17T00:00:00"/>
    <x v="1"/>
    <n v="24.9"/>
    <s v="Brooklyn Nets"/>
  </r>
  <r>
    <n v="1484"/>
    <s v="Renata Silva"/>
    <x v="0"/>
    <s v="Manaus"/>
    <x v="4"/>
    <x v="0"/>
    <d v="2025-04-20T00:00:00"/>
    <x v="2"/>
    <n v="489.9"/>
    <s v="Dallas Mavericks"/>
  </r>
  <r>
    <n v="1485"/>
    <s v="Beatriz Monteiro"/>
    <x v="0"/>
    <s v="Goiânia"/>
    <x v="2"/>
    <x v="1"/>
    <d v="2025-04-05T00:00:00"/>
    <x v="0"/>
    <n v="449.9"/>
    <s v="Brooklyn Nets"/>
  </r>
  <r>
    <n v="1486"/>
    <s v="Thiago Rodrigues"/>
    <x v="2"/>
    <s v="Belém"/>
    <x v="4"/>
    <x v="0"/>
    <d v="2025-04-08T00:00:00"/>
    <x v="2"/>
    <n v="489.9"/>
    <s v="Phoenix Suns"/>
  </r>
  <r>
    <n v="1487"/>
    <s v="Bianca Rodrigues"/>
    <x v="0"/>
    <s v="Porto Alegre"/>
    <x v="3"/>
    <x v="3"/>
    <d v="2025-04-11T00:00:00"/>
    <x v="1"/>
    <n v="39.9"/>
    <s v="Dallas Mavericks"/>
  </r>
  <r>
    <n v="1488"/>
    <s v="Camila Oliveira"/>
    <x v="0"/>
    <s v="Recife"/>
    <x v="1"/>
    <x v="1"/>
    <d v="2025-04-14T00:00:00"/>
    <x v="0"/>
    <n v="449.9"/>
    <s v="Boston Celtics"/>
  </r>
  <r>
    <n v="1489"/>
    <s v="Bruno Santos"/>
    <x v="1"/>
    <s v="Maceió"/>
    <x v="1"/>
    <x v="3"/>
    <d v="2025-04-17T00:00:00"/>
    <x v="0"/>
    <n v="299.89999999999998"/>
    <s v="Milwaukee Bucks"/>
  </r>
  <r>
    <n v="1490"/>
    <s v="Pedro Silva"/>
    <x v="2"/>
    <s v="Rio de Janeiro"/>
    <x v="0"/>
    <x v="3"/>
    <d v="2025-04-20T00:00:00"/>
    <x v="0"/>
    <n v="299.89999999999998"/>
    <s v="Phoenix Suns"/>
  </r>
  <r>
    <n v="1491"/>
    <s v="Camila Almeida"/>
    <x v="0"/>
    <s v="Fortaleza"/>
    <x v="1"/>
    <x v="2"/>
    <d v="2025-07-14T00:00:00"/>
    <x v="1"/>
    <n v="24.9"/>
    <s v="Los Angeles Lakers"/>
  </r>
  <r>
    <n v="1492"/>
    <s v="Carlos Pereira"/>
    <x v="1"/>
    <s v="São Luís"/>
    <x v="1"/>
    <x v="2"/>
    <d v="2025-03-03T00:00:00"/>
    <x v="0"/>
    <n v="199.9"/>
    <s v="Denver Nuggets"/>
  </r>
  <r>
    <n v="1493"/>
    <s v="Larissa Silva"/>
    <x v="0"/>
    <s v="Belo Horizonte"/>
    <x v="0"/>
    <x v="0"/>
    <d v="2025-03-05T00:00:00"/>
    <x v="1"/>
    <n v="74.900000000000006"/>
    <s v="Golden State Warriors"/>
  </r>
  <r>
    <n v="1494"/>
    <s v="Bruno Gomes"/>
    <x v="1"/>
    <s v="Belém"/>
    <x v="4"/>
    <x v="0"/>
    <d v="2025-03-08T00:00:00"/>
    <x v="0"/>
    <n v="599.9"/>
    <s v="Golden State Warriors"/>
  </r>
  <r>
    <n v="1495"/>
    <s v="Pedro Souza"/>
    <x v="1"/>
    <s v="Natal"/>
    <x v="1"/>
    <x v="3"/>
    <d v="2025-03-11T00:00:00"/>
    <x v="1"/>
    <n v="39.9"/>
    <s v="Phoenix Suns"/>
  </r>
  <r>
    <n v="1496"/>
    <s v="Camila Silva"/>
    <x v="0"/>
    <s v="Campinas"/>
    <x v="0"/>
    <x v="3"/>
    <d v="2025-03-14T00:00:00"/>
    <x v="1"/>
    <n v="39.9"/>
    <s v="Phoenix Suns"/>
  </r>
  <r>
    <n v="1497"/>
    <s v="Ana Monteiro"/>
    <x v="0"/>
    <s v="São Luís"/>
    <x v="1"/>
    <x v="2"/>
    <d v="2025-03-17T00:00:00"/>
    <x v="1"/>
    <n v="24.9"/>
    <s v="Not specified"/>
  </r>
  <r>
    <n v="1498"/>
    <s v="Renata Santos"/>
    <x v="0"/>
    <s v="Goiânia"/>
    <x v="2"/>
    <x v="3"/>
    <d v="2025-03-20T00:00:00"/>
    <x v="1"/>
    <n v="39.9"/>
    <s v="Milwaukee Bucks"/>
  </r>
  <r>
    <n v="1499"/>
    <s v="Diego Almeida"/>
    <x v="2"/>
    <s v="São Paulo"/>
    <x v="0"/>
    <x v="2"/>
    <d v="2025-04-05T00:00:00"/>
    <x v="1"/>
    <n v="24.9"/>
    <s v="Boston Celtics"/>
  </r>
  <r>
    <n v="1500"/>
    <s v="Fernanda Pereira"/>
    <x v="0"/>
    <s v="Belém"/>
    <x v="4"/>
    <x v="2"/>
    <d v="2025-04-08T00:00:00"/>
    <x v="0"/>
    <n v="199.9"/>
    <s v="Chicago Bulls"/>
  </r>
  <r>
    <n v="1501"/>
    <s v="Mariana Souza"/>
    <x v="0"/>
    <s v="Teresina"/>
    <x v="1"/>
    <x v="1"/>
    <d v="2025-04-11T00:00:00"/>
    <x v="0"/>
    <n v="449.9"/>
    <s v="Chicago Bulls"/>
  </r>
  <r>
    <n v="1502"/>
    <s v="Gabriel Lima"/>
    <x v="1"/>
    <s v="Natal"/>
    <x v="1"/>
    <x v="1"/>
    <d v="2025-04-14T00:00:00"/>
    <x v="2"/>
    <n v="349.9"/>
    <s v="Dallas Mavericks"/>
  </r>
  <r>
    <n v="1503"/>
    <s v="João Lima"/>
    <x v="1"/>
    <s v="João Pessoa"/>
    <x v="1"/>
    <x v="1"/>
    <d v="2025-04-17T00:00:00"/>
    <x v="0"/>
    <n v="449.9"/>
    <s v="Chicago Bulls"/>
  </r>
  <r>
    <n v="1504"/>
    <s v="Lucas Oliveira"/>
    <x v="1"/>
    <s v="Campinas"/>
    <x v="0"/>
    <x v="1"/>
    <d v="2025-04-20T00:00:00"/>
    <x v="0"/>
    <n v="449.9"/>
    <s v="Not specified"/>
  </r>
  <r>
    <n v="1505"/>
    <s v="Beatriz Silva"/>
    <x v="0"/>
    <s v="Curitiba"/>
    <x v="3"/>
    <x v="3"/>
    <d v="2025-04-05T00:00:00"/>
    <x v="0"/>
    <n v="299.89999999999998"/>
    <s v="Milwaukee Bucks"/>
  </r>
  <r>
    <n v="1506"/>
    <s v="Bianca Monteiro"/>
    <x v="0"/>
    <s v="Belém"/>
    <x v="4"/>
    <x v="0"/>
    <d v="2025-04-08T00:00:00"/>
    <x v="1"/>
    <n v="74.900000000000006"/>
    <s v="Not specified"/>
  </r>
  <r>
    <n v="1507"/>
    <s v="Camila Monteiro"/>
    <x v="0"/>
    <s v="Belo Horizonte"/>
    <x v="0"/>
    <x v="3"/>
    <d v="2025-04-11T00:00:00"/>
    <x v="0"/>
    <n v="299.89999999999998"/>
    <s v="Phoenix Suns"/>
  </r>
  <r>
    <n v="1508"/>
    <s v="Mariana Silva"/>
    <x v="0"/>
    <s v="Teresina"/>
    <x v="1"/>
    <x v="1"/>
    <d v="2025-04-14T00:00:00"/>
    <x v="1"/>
    <n v="54.9"/>
    <s v="Not specified"/>
  </r>
  <r>
    <n v="1509"/>
    <s v="Patrícia Oliveira"/>
    <x v="2"/>
    <s v="Teresina"/>
    <x v="1"/>
    <x v="1"/>
    <d v="2025-04-17T00:00:00"/>
    <x v="0"/>
    <n v="449.9"/>
    <s v="Miami Heat"/>
  </r>
  <r>
    <n v="1510"/>
    <s v="Gabriel Gomes"/>
    <x v="1"/>
    <s v="Teresina"/>
    <x v="1"/>
    <x v="3"/>
    <d v="2025-08-23T00:00:00"/>
    <x v="1"/>
    <n v="39.9"/>
    <s v="Dallas Mavericks"/>
  </r>
  <r>
    <n v="1511"/>
    <s v="Mateus Silva"/>
    <x v="1"/>
    <s v="Goiânia"/>
    <x v="2"/>
    <x v="3"/>
    <d v="2025-08-26T00:00:00"/>
    <x v="0"/>
    <n v="299.89999999999998"/>
    <s v="Not specified"/>
  </r>
  <r>
    <n v="1512"/>
    <s v="Fernanda Santos"/>
    <x v="0"/>
    <s v="Natal"/>
    <x v="1"/>
    <x v="2"/>
    <d v="2025-03-11T00:00:00"/>
    <x v="1"/>
    <n v="24.9"/>
    <s v="Los Angeles Lakers"/>
  </r>
  <r>
    <n v="1513"/>
    <s v="Bianca Santos"/>
    <x v="0"/>
    <s v="Belém"/>
    <x v="4"/>
    <x v="3"/>
    <d v="2025-03-14T00:00:00"/>
    <x v="1"/>
    <n v="39.9"/>
    <s v="Chicago Bulls"/>
  </r>
  <r>
    <n v="1514"/>
    <s v="Mariana Silva"/>
    <x v="0"/>
    <s v="Campinas"/>
    <x v="0"/>
    <x v="3"/>
    <d v="2025-03-17T00:00:00"/>
    <x v="1"/>
    <n v="39.9"/>
    <s v="Denver Nuggets"/>
  </r>
  <r>
    <n v="1515"/>
    <s v="Mariana Lima"/>
    <x v="0"/>
    <s v="Goiânia"/>
    <x v="2"/>
    <x v="0"/>
    <d v="2025-03-20T00:00:00"/>
    <x v="2"/>
    <n v="489.9"/>
    <s v="Dallas Mavericks"/>
  </r>
  <r>
    <n v="1516"/>
    <s v="Larissa Lima"/>
    <x v="0"/>
    <s v="Goiânia"/>
    <x v="2"/>
    <x v="1"/>
    <d v="2025-03-23T00:00:00"/>
    <x v="1"/>
    <n v="54.9"/>
    <s v="Not specified"/>
  </r>
  <r>
    <n v="1517"/>
    <s v="Diego Gomes"/>
    <x v="1"/>
    <s v="Salvador"/>
    <x v="1"/>
    <x v="0"/>
    <d v="2025-03-26T00:00:00"/>
    <x v="1"/>
    <n v="74.900000000000006"/>
    <s v="Miami Heat"/>
  </r>
  <r>
    <n v="1518"/>
    <s v="Bruno Pereira"/>
    <x v="1"/>
    <s v="Cuiabá"/>
    <x v="2"/>
    <x v="1"/>
    <d v="2025-03-29T00:00:00"/>
    <x v="1"/>
    <n v="54.9"/>
    <s v="Boston Celtics"/>
  </r>
  <r>
    <n v="1519"/>
    <s v="Bianca Gomes"/>
    <x v="0"/>
    <s v="Belém"/>
    <x v="4"/>
    <x v="2"/>
    <d v="2025-04-02T00:00:00"/>
    <x v="0"/>
    <n v="199.9"/>
    <s v="Boston Celtics"/>
  </r>
  <r>
    <n v="1520"/>
    <s v="Lucas Gomes"/>
    <x v="1"/>
    <s v="São Paulo"/>
    <x v="0"/>
    <x v="2"/>
    <d v="2025-04-05T00:00:00"/>
    <x v="0"/>
    <n v="199.9"/>
    <s v="Los Angeles Lakers"/>
  </r>
  <r>
    <n v="1521"/>
    <s v="Bianca Lima"/>
    <x v="0"/>
    <s v="Rio de Janeiro"/>
    <x v="0"/>
    <x v="3"/>
    <d v="2025-04-08T00:00:00"/>
    <x v="1"/>
    <n v="39.9"/>
    <s v="Denver Nuggets"/>
  </r>
  <r>
    <n v="1522"/>
    <s v="Larissa Rodrigues"/>
    <x v="0"/>
    <s v="Recife"/>
    <x v="1"/>
    <x v="0"/>
    <d v="2025-04-11T00:00:00"/>
    <x v="1"/>
    <n v="74.900000000000006"/>
    <s v="Not specified"/>
  </r>
  <r>
    <n v="1523"/>
    <s v="Rafael Santos"/>
    <x v="1"/>
    <s v="Manaus"/>
    <x v="4"/>
    <x v="2"/>
    <d v="2025-04-14T00:00:00"/>
    <x v="1"/>
    <n v="24.9"/>
    <s v="Chicago Bul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E83D5-7645-4245-8EA3-0D6BD63620D2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5:C9" firstHeaderRow="1" firstDataRow="1" firstDataCol="1" rowPageCount="2" colPageCount="1"/>
  <pivotFields count="10">
    <pivotField showAll="0"/>
    <pivotField showAll="0"/>
    <pivotField showAll="0"/>
    <pivotField showAll="0"/>
    <pivotField axis="axisPage" showAll="0">
      <items count="6">
        <item x="2"/>
        <item x="1"/>
        <item x="4"/>
        <item x="0"/>
        <item x="3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numFmtId="14" showAll="0"/>
    <pivotField axis="axisRow" multipleItemSelectionAllowed="1" showAll="0">
      <items count="5">
        <item m="1" x="3"/>
        <item x="1"/>
        <item x="2"/>
        <item x="0"/>
        <item t="default"/>
      </items>
    </pivotField>
    <pivotField dataField="1" numFmtId="164" showAll="0"/>
    <pivotField showAll="0"/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pageFields count="2">
    <pageField fld="5" hier="-1"/>
    <pageField fld="4" hier="-1"/>
  </pageFields>
  <dataFields count="1">
    <dataField name="Soma de Subscription Price" fld="8" baseField="0" baseItem="0" numFmtId="164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6F977-4346-4867-ABEF-313638DDC15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17:C23" firstHeaderRow="1" firstDataRow="1" firstDataCol="1"/>
  <pivotFields count="10">
    <pivotField showAll="0"/>
    <pivotField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Subscription Price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BBEC7-824E-48F1-A8B9-AD389566A11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1:C15" firstHeaderRow="1" firstDataRow="1" firstDataCol="1"/>
  <pivotFields count="10"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44DB8D30-318C-4A9B-8FAA-F02DAE58C13E}" sourceName="Plan">
  <pivotTables>
    <pivotTable tabId="4" name="Tabela dinâmica3"/>
    <pivotTable tabId="4" name="Tabela dinâmica1"/>
    <pivotTable tabId="4" name="Tabela dinâmica4"/>
  </pivotTables>
  <data>
    <tabular pivotCacheId="1908346839">
      <items count="4">
        <i x="1" s="1"/>
        <i x="0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D2E251DD-C12A-472B-9017-4B612C5EFAE5}" cache="SegmentaçãodeDados_Plan" caption="Plan Options:" style="NBA_subscription_type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5D23-A3E1-4B6D-9436-858409A0A63B}">
  <dimension ref="C1:D6"/>
  <sheetViews>
    <sheetView workbookViewId="0">
      <selection activeCell="D14" sqref="D14"/>
    </sheetView>
  </sheetViews>
  <sheetFormatPr defaultRowHeight="14.5" x14ac:dyDescent="0.35"/>
  <cols>
    <col min="3" max="3" width="18.90625" bestFit="1" customWidth="1"/>
  </cols>
  <sheetData>
    <row r="1" spans="3:4" x14ac:dyDescent="0.35">
      <c r="C1" t="s">
        <v>180</v>
      </c>
    </row>
    <row r="2" spans="3:4" x14ac:dyDescent="0.35">
      <c r="C2" t="s">
        <v>181</v>
      </c>
      <c r="D2" s="12" t="s">
        <v>182</v>
      </c>
    </row>
    <row r="3" spans="3:4" x14ac:dyDescent="0.35">
      <c r="C3" t="s">
        <v>188</v>
      </c>
      <c r="D3" s="20" t="s">
        <v>189</v>
      </c>
    </row>
    <row r="4" spans="3:4" x14ac:dyDescent="0.35">
      <c r="C4" t="s">
        <v>183</v>
      </c>
      <c r="D4" s="13" t="s">
        <v>184</v>
      </c>
    </row>
    <row r="5" spans="3:4" x14ac:dyDescent="0.35">
      <c r="C5" t="s">
        <v>185</v>
      </c>
      <c r="D5" s="14" t="s">
        <v>186</v>
      </c>
    </row>
    <row r="6" spans="3:4" x14ac:dyDescent="0.35">
      <c r="C6" t="s">
        <v>190</v>
      </c>
      <c r="D6" s="11" t="s">
        <v>191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DAFA-1BA3-44F9-8BFB-9AFBA075F868}">
  <dimension ref="A1:D6"/>
  <sheetViews>
    <sheetView workbookViewId="0">
      <selection activeCell="D14" sqref="D14"/>
    </sheetView>
  </sheetViews>
  <sheetFormatPr defaultRowHeight="14.5" x14ac:dyDescent="0.35"/>
  <cols>
    <col min="1" max="1" width="18.90625" bestFit="1" customWidth="1"/>
    <col min="2" max="2" width="9.08984375" bestFit="1" customWidth="1"/>
    <col min="3" max="3" width="13.54296875" bestFit="1" customWidth="1"/>
    <col min="4" max="4" width="11.36328125" bestFit="1" customWidth="1"/>
  </cols>
  <sheetData>
    <row r="1" spans="1:4" ht="15.5" thickTop="1" thickBot="1" x14ac:dyDescent="0.4">
      <c r="A1" s="15" t="s">
        <v>168</v>
      </c>
      <c r="B1" s="15" t="s">
        <v>162</v>
      </c>
      <c r="C1" s="15" t="s">
        <v>161</v>
      </c>
      <c r="D1" s="15" t="s">
        <v>178</v>
      </c>
    </row>
    <row r="2" spans="1:4" ht="15.5" thickTop="1" thickBot="1" x14ac:dyDescent="0.4">
      <c r="A2" s="16" t="s">
        <v>140</v>
      </c>
      <c r="B2" s="17">
        <v>54.9</v>
      </c>
      <c r="C2" s="17">
        <v>349.9</v>
      </c>
      <c r="D2" s="17">
        <v>449.9</v>
      </c>
    </row>
    <row r="3" spans="1:4" ht="15.5" thickTop="1" thickBot="1" x14ac:dyDescent="0.4">
      <c r="A3" s="16" t="s">
        <v>139</v>
      </c>
      <c r="B3" s="17">
        <v>74.900000000000006</v>
      </c>
      <c r="C3" s="17">
        <v>489.9</v>
      </c>
      <c r="D3" s="17">
        <v>599.9</v>
      </c>
    </row>
    <row r="4" spans="1:4" ht="15.5" thickTop="1" thickBot="1" x14ac:dyDescent="0.4">
      <c r="A4" s="16" t="s">
        <v>142</v>
      </c>
      <c r="B4" s="17">
        <v>39.9</v>
      </c>
      <c r="C4" s="17"/>
      <c r="D4" s="17">
        <v>299.89999999999998</v>
      </c>
    </row>
    <row r="5" spans="1:4" ht="15.5" thickTop="1" thickBot="1" x14ac:dyDescent="0.4">
      <c r="A5" s="16" t="s">
        <v>141</v>
      </c>
      <c r="B5" s="17">
        <v>24.9</v>
      </c>
      <c r="C5" s="17"/>
      <c r="D5" s="17">
        <v>199.9</v>
      </c>
    </row>
    <row r="6" spans="1:4" ht="15" thickTop="1" x14ac:dyDescent="0.3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6"/>
  <sheetViews>
    <sheetView workbookViewId="0">
      <selection activeCell="D14" sqref="D14"/>
    </sheetView>
  </sheetViews>
  <sheetFormatPr defaultRowHeight="14.5" x14ac:dyDescent="0.35"/>
  <cols>
    <col min="1" max="1" width="14.08984375" bestFit="1" customWidth="1"/>
    <col min="2" max="2" width="17.1796875" customWidth="1"/>
    <col min="3" max="3" width="17.453125" bestFit="1" customWidth="1"/>
    <col min="4" max="4" width="13.453125" customWidth="1"/>
    <col min="5" max="5" width="11.6328125" bestFit="1" customWidth="1"/>
    <col min="6" max="6" width="18.90625" customWidth="1"/>
    <col min="7" max="7" width="13.90625" bestFit="1" customWidth="1"/>
    <col min="8" max="8" width="20.26953125" bestFit="1" customWidth="1"/>
    <col min="9" max="9" width="20.36328125" bestFit="1" customWidth="1"/>
    <col min="10" max="10" width="19.453125" customWidth="1"/>
  </cols>
  <sheetData>
    <row r="1" spans="1:10" x14ac:dyDescent="0.35">
      <c r="A1" s="5" t="s">
        <v>167</v>
      </c>
      <c r="B1" s="6" t="s">
        <v>153</v>
      </c>
      <c r="C1" s="6" t="s">
        <v>154</v>
      </c>
      <c r="D1" s="6" t="s">
        <v>155</v>
      </c>
      <c r="E1" s="6" t="s">
        <v>169</v>
      </c>
      <c r="F1" s="6" t="s">
        <v>158</v>
      </c>
      <c r="G1" s="6" t="s">
        <v>159</v>
      </c>
      <c r="H1" s="6" t="s">
        <v>156</v>
      </c>
      <c r="I1" s="6" t="s">
        <v>160</v>
      </c>
      <c r="J1" s="6" t="s">
        <v>157</v>
      </c>
    </row>
    <row r="2" spans="1:10" x14ac:dyDescent="0.35">
      <c r="A2" s="2">
        <v>1324</v>
      </c>
      <c r="B2" s="3" t="s">
        <v>0</v>
      </c>
      <c r="C2" s="3" t="s">
        <v>164</v>
      </c>
      <c r="D2" s="3" t="s">
        <v>119</v>
      </c>
      <c r="E2" s="3" t="s">
        <v>170</v>
      </c>
      <c r="F2" s="3" t="s">
        <v>139</v>
      </c>
      <c r="G2" s="4">
        <v>45658</v>
      </c>
      <c r="H2" s="3" t="s">
        <v>178</v>
      </c>
      <c r="I2" s="9">
        <f>_xlfn.IFS(AND(F2=Plans!$A$2,Base!H2=Plans!$B$1),Plans!$B$2,AND(F2=Plans!$A$2,Base!H2=Plans!$C$1),Plans!$C$2,AND(F2=Plans!$A$2,Base!H2=Plans!$D$1),Plans!$D$2,AND(F2=Plans!$A$3,Base!H2=Plans!$B$1),Plans!$B$3,AND(F2=Plans!$A$3,Base!H2=Plans!$C$1),Plans!$C$3,AND(F2=Plans!$A$3,Base!H2=Plans!$D$1),Plans!$D$3,AND(F2=Plans!$A$4,Base!H2=Plans!$B$1),Plans!$B$4,AND(F2=Plans!$A$4,Base!H2=Plans!$C$1),Plans!$C$4,AND(F2=Plans!$A$4,Base!H2=Plans!$D$1),Plans!$D$4,AND(F2=Plans!$A$5,Base!H2=Plans!$B$1),Plans!$B$5,AND(F2=Plans!$A$5,Base!H2=Plans!$C$1),Plans!$C$5,AND(F2=Plans!$A$5,Base!H2=Plans!$D$1),Plans!$D$5)</f>
        <v>599.9</v>
      </c>
      <c r="J2" s="3" t="s">
        <v>143</v>
      </c>
    </row>
    <row r="3" spans="1:10" x14ac:dyDescent="0.35">
      <c r="A3" s="2">
        <v>1325</v>
      </c>
      <c r="B3" s="3" t="s">
        <v>1</v>
      </c>
      <c r="C3" s="3" t="s">
        <v>165</v>
      </c>
      <c r="D3" s="3" t="s">
        <v>120</v>
      </c>
      <c r="E3" s="3" t="s">
        <v>171</v>
      </c>
      <c r="F3" s="3" t="s">
        <v>140</v>
      </c>
      <c r="G3" s="4">
        <v>45708</v>
      </c>
      <c r="H3" s="3" t="s">
        <v>162</v>
      </c>
      <c r="I3" s="9">
        <f>_xlfn.IFS(AND(F3=Plans!$A$2,Base!H3=Plans!$B$1),Plans!$B$2,AND(F3=Plans!$A$2,Base!H3=Plans!$C$1),Plans!$C$2,AND(F3=Plans!$A$2,Base!H3=Plans!$D$1),Plans!$D$2,AND(F3=Plans!$A$3,Base!H3=Plans!$B$1),Plans!$B$3,AND(F3=Plans!$A$3,Base!H3=Plans!$C$1),Plans!$C$3,AND(F3=Plans!$A$3,Base!H3=Plans!$D$1),Plans!$D$3,AND(F3=Plans!$A$4,Base!H3=Plans!$B$1),Plans!$B$4,AND(F3=Plans!$A$4,Base!H3=Plans!$C$1),Plans!$C$4,AND(F3=Plans!$A$4,Base!H3=Plans!$D$1),Plans!$D$4,AND(F3=Plans!$A$5,Base!H3=Plans!$B$1),Plans!$B$5,AND(F3=Plans!$A$5,Base!H3=Plans!$C$1),Plans!$C$5,AND(F3=Plans!$A$5,Base!H3=Plans!$D$1),Plans!$D$5)</f>
        <v>54.9</v>
      </c>
      <c r="J3" s="3" t="s">
        <v>163</v>
      </c>
    </row>
    <row r="4" spans="1:10" x14ac:dyDescent="0.35">
      <c r="A4" s="2">
        <v>1326</v>
      </c>
      <c r="B4" s="3" t="s">
        <v>2</v>
      </c>
      <c r="C4" s="3" t="s">
        <v>164</v>
      </c>
      <c r="D4" s="3" t="s">
        <v>121</v>
      </c>
      <c r="E4" s="3" t="s">
        <v>172</v>
      </c>
      <c r="F4" s="3" t="s">
        <v>139</v>
      </c>
      <c r="G4" s="4">
        <v>45719</v>
      </c>
      <c r="H4" s="3" t="s">
        <v>162</v>
      </c>
      <c r="I4" s="9">
        <f>_xlfn.IFS(AND(F4=Plans!$A$2,Base!H4=Plans!$B$1),Plans!$B$2,AND(F4=Plans!$A$2,Base!H4=Plans!$C$1),Plans!$C$2,AND(F4=Plans!$A$2,Base!H4=Plans!$D$1),Plans!$D$2,AND(F4=Plans!$A$3,Base!H4=Plans!$B$1),Plans!$B$3,AND(F4=Plans!$A$3,Base!H4=Plans!$C$1),Plans!$C$3,AND(F4=Plans!$A$3,Base!H4=Plans!$D$1),Plans!$D$3,AND(F4=Plans!$A$4,Base!H4=Plans!$B$1),Plans!$B$4,AND(F4=Plans!$A$4,Base!H4=Plans!$C$1),Plans!$C$4,AND(F4=Plans!$A$4,Base!H4=Plans!$D$1),Plans!$D$4,AND(F4=Plans!$A$5,Base!H4=Plans!$B$1),Plans!$B$5,AND(F4=Plans!$A$5,Base!H4=Plans!$C$1),Plans!$C$5,AND(F4=Plans!$A$5,Base!H4=Plans!$D$1),Plans!$D$5)</f>
        <v>74.900000000000006</v>
      </c>
      <c r="J4" s="3" t="s">
        <v>144</v>
      </c>
    </row>
    <row r="5" spans="1:10" x14ac:dyDescent="0.35">
      <c r="A5" s="2">
        <v>1327</v>
      </c>
      <c r="B5" s="3" t="s">
        <v>3</v>
      </c>
      <c r="C5" s="3" t="s">
        <v>164</v>
      </c>
      <c r="D5" s="3" t="s">
        <v>122</v>
      </c>
      <c r="E5" s="3" t="s">
        <v>170</v>
      </c>
      <c r="F5" s="3" t="s">
        <v>141</v>
      </c>
      <c r="G5" s="4">
        <v>45721</v>
      </c>
      <c r="H5" s="3" t="s">
        <v>178</v>
      </c>
      <c r="I5" s="9">
        <f>_xlfn.IFS(AND(F5=Plans!$A$2,Base!H5=Plans!$B$1),Plans!$B$2,AND(F5=Plans!$A$2,Base!H5=Plans!$C$1),Plans!$C$2,AND(F5=Plans!$A$2,Base!H5=Plans!$D$1),Plans!$D$2,AND(F5=Plans!$A$3,Base!H5=Plans!$B$1),Plans!$B$3,AND(F5=Plans!$A$3,Base!H5=Plans!$C$1),Plans!$C$3,AND(F5=Plans!$A$3,Base!H5=Plans!$D$1),Plans!$D$3,AND(F5=Plans!$A$4,Base!H5=Plans!$B$1),Plans!$B$4,AND(F5=Plans!$A$4,Base!H5=Plans!$C$1),Plans!$C$4,AND(F5=Plans!$A$4,Base!H5=Plans!$D$1),Plans!$D$4,AND(F5=Plans!$A$5,Base!H5=Plans!$B$1),Plans!$B$5,AND(F5=Plans!$A$5,Base!H5=Plans!$C$1),Plans!$C$5,AND(F5=Plans!$A$5,Base!H5=Plans!$D$1),Plans!$D$5)</f>
        <v>199.9</v>
      </c>
      <c r="J5" s="3" t="s">
        <v>145</v>
      </c>
    </row>
    <row r="6" spans="1:10" x14ac:dyDescent="0.35">
      <c r="A6" s="2">
        <v>1328</v>
      </c>
      <c r="B6" s="3" t="s">
        <v>4</v>
      </c>
      <c r="C6" s="3" t="s">
        <v>166</v>
      </c>
      <c r="D6" s="3" t="s">
        <v>123</v>
      </c>
      <c r="E6" s="3" t="s">
        <v>171</v>
      </c>
      <c r="F6" s="3" t="s">
        <v>141</v>
      </c>
      <c r="G6" s="4">
        <v>45724</v>
      </c>
      <c r="H6" s="3" t="s">
        <v>162</v>
      </c>
      <c r="I6" s="9">
        <f>_xlfn.IFS(AND(F6=Plans!$A$2,Base!H6=Plans!$B$1),Plans!$B$2,AND(F6=Plans!$A$2,Base!H6=Plans!$C$1),Plans!$C$2,AND(F6=Plans!$A$2,Base!H6=Plans!$D$1),Plans!$D$2,AND(F6=Plans!$A$3,Base!H6=Plans!$B$1),Plans!$B$3,AND(F6=Plans!$A$3,Base!H6=Plans!$C$1),Plans!$C$3,AND(F6=Plans!$A$3,Base!H6=Plans!$D$1),Plans!$D$3,AND(F6=Plans!$A$4,Base!H6=Plans!$B$1),Plans!$B$4,AND(F6=Plans!$A$4,Base!H6=Plans!$C$1),Plans!$C$4,AND(F6=Plans!$A$4,Base!H6=Plans!$D$1),Plans!$D$4,AND(F6=Plans!$A$5,Base!H6=Plans!$B$1),Plans!$B$5,AND(F6=Plans!$A$5,Base!H6=Plans!$C$1),Plans!$C$5,AND(F6=Plans!$A$5,Base!H6=Plans!$D$1),Plans!$D$5)</f>
        <v>24.9</v>
      </c>
      <c r="J6" s="3" t="s">
        <v>146</v>
      </c>
    </row>
    <row r="7" spans="1:10" x14ac:dyDescent="0.35">
      <c r="A7" s="2">
        <v>1329</v>
      </c>
      <c r="B7" s="3" t="s">
        <v>5</v>
      </c>
      <c r="C7" s="3" t="s">
        <v>166</v>
      </c>
      <c r="D7" s="3" t="s">
        <v>124</v>
      </c>
      <c r="E7" s="3" t="s">
        <v>170</v>
      </c>
      <c r="F7" s="3" t="s">
        <v>140</v>
      </c>
      <c r="G7" s="4">
        <v>45727</v>
      </c>
      <c r="H7" s="3" t="s">
        <v>161</v>
      </c>
      <c r="I7" s="9">
        <f>_xlfn.IFS(AND(F7=Plans!$A$2,Base!H7=Plans!$B$1),Plans!$B$2,AND(F7=Plans!$A$2,Base!H7=Plans!$C$1),Plans!$C$2,AND(F7=Plans!$A$2,Base!H7=Plans!$D$1),Plans!$D$2,AND(F7=Plans!$A$3,Base!H7=Plans!$B$1),Plans!$B$3,AND(F7=Plans!$A$3,Base!H7=Plans!$C$1),Plans!$C$3,AND(F7=Plans!$A$3,Base!H7=Plans!$D$1),Plans!$D$3,AND(F7=Plans!$A$4,Base!H7=Plans!$B$1),Plans!$B$4,AND(F7=Plans!$A$4,Base!H7=Plans!$C$1),Plans!$C$4,AND(F7=Plans!$A$4,Base!H7=Plans!$D$1),Plans!$D$4,AND(F7=Plans!$A$5,Base!H7=Plans!$B$1),Plans!$B$5,AND(F7=Plans!$A$5,Base!H7=Plans!$C$1),Plans!$C$5,AND(F7=Plans!$A$5,Base!H7=Plans!$D$1),Plans!$D$5)</f>
        <v>349.9</v>
      </c>
      <c r="J7" s="3" t="s">
        <v>163</v>
      </c>
    </row>
    <row r="8" spans="1:10" x14ac:dyDescent="0.35">
      <c r="A8" s="2">
        <v>1330</v>
      </c>
      <c r="B8" s="3" t="s">
        <v>6</v>
      </c>
      <c r="C8" s="3" t="s">
        <v>164</v>
      </c>
      <c r="D8" s="3" t="s">
        <v>119</v>
      </c>
      <c r="E8" s="3" t="s">
        <v>170</v>
      </c>
      <c r="F8" s="3" t="s">
        <v>141</v>
      </c>
      <c r="G8" s="4">
        <v>45730</v>
      </c>
      <c r="H8" s="3" t="s">
        <v>162</v>
      </c>
      <c r="I8" s="9">
        <f>_xlfn.IFS(AND(F8=Plans!$A$2,Base!H8=Plans!$B$1),Plans!$B$2,AND(F8=Plans!$A$2,Base!H8=Plans!$C$1),Plans!$C$2,AND(F8=Plans!$A$2,Base!H8=Plans!$D$1),Plans!$D$2,AND(F8=Plans!$A$3,Base!H8=Plans!$B$1),Plans!$B$3,AND(F8=Plans!$A$3,Base!H8=Plans!$C$1),Plans!$C$3,AND(F8=Plans!$A$3,Base!H8=Plans!$D$1),Plans!$D$3,AND(F8=Plans!$A$4,Base!H8=Plans!$B$1),Plans!$B$4,AND(F8=Plans!$A$4,Base!H8=Plans!$C$1),Plans!$C$4,AND(F8=Plans!$A$4,Base!H8=Plans!$D$1),Plans!$D$4,AND(F8=Plans!$A$5,Base!H8=Plans!$B$1),Plans!$B$5,AND(F8=Plans!$A$5,Base!H8=Plans!$C$1),Plans!$C$5,AND(F8=Plans!$A$5,Base!H8=Plans!$D$1),Plans!$D$5)</f>
        <v>24.9</v>
      </c>
      <c r="J8" s="3" t="s">
        <v>147</v>
      </c>
    </row>
    <row r="9" spans="1:10" x14ac:dyDescent="0.35">
      <c r="A9" s="2">
        <v>1331</v>
      </c>
      <c r="B9" s="3" t="s">
        <v>7</v>
      </c>
      <c r="C9" s="3" t="s">
        <v>164</v>
      </c>
      <c r="D9" s="3" t="s">
        <v>125</v>
      </c>
      <c r="E9" s="3" t="s">
        <v>173</v>
      </c>
      <c r="F9" s="3" t="s">
        <v>142</v>
      </c>
      <c r="G9" s="4">
        <v>45733</v>
      </c>
      <c r="H9" s="3" t="s">
        <v>162</v>
      </c>
      <c r="I9" s="9">
        <f>_xlfn.IFS(AND(F9=Plans!$A$2,Base!H9=Plans!$B$1),Plans!$B$2,AND(F9=Plans!$A$2,Base!H9=Plans!$C$1),Plans!$C$2,AND(F9=Plans!$A$2,Base!H9=Plans!$D$1),Plans!$D$2,AND(F9=Plans!$A$3,Base!H9=Plans!$B$1),Plans!$B$3,AND(F9=Plans!$A$3,Base!H9=Plans!$C$1),Plans!$C$3,AND(F9=Plans!$A$3,Base!H9=Plans!$D$1),Plans!$D$3,AND(F9=Plans!$A$4,Base!H9=Plans!$B$1),Plans!$B$4,AND(F9=Plans!$A$4,Base!H9=Plans!$C$1),Plans!$C$4,AND(F9=Plans!$A$4,Base!H9=Plans!$D$1),Plans!$D$4,AND(F9=Plans!$A$5,Base!H9=Plans!$B$1),Plans!$B$5,AND(F9=Plans!$A$5,Base!H9=Plans!$C$1),Plans!$C$5,AND(F9=Plans!$A$5,Base!H9=Plans!$D$1),Plans!$D$5)</f>
        <v>39.9</v>
      </c>
      <c r="J9" s="3" t="s">
        <v>148</v>
      </c>
    </row>
    <row r="10" spans="1:10" x14ac:dyDescent="0.35">
      <c r="A10" s="2">
        <v>1332</v>
      </c>
      <c r="B10" s="3" t="s">
        <v>8</v>
      </c>
      <c r="C10" s="3" t="s">
        <v>165</v>
      </c>
      <c r="D10" s="3" t="s">
        <v>126</v>
      </c>
      <c r="E10" s="3" t="s">
        <v>172</v>
      </c>
      <c r="F10" s="3" t="s">
        <v>142</v>
      </c>
      <c r="G10" s="4">
        <v>45736</v>
      </c>
      <c r="H10" s="3" t="s">
        <v>178</v>
      </c>
      <c r="I10" s="9">
        <f>_xlfn.IFS(AND(F10=Plans!$A$2,Base!H10=Plans!$B$1),Plans!$B$2,AND(F10=Plans!$A$2,Base!H10=Plans!$C$1),Plans!$C$2,AND(F10=Plans!$A$2,Base!H10=Plans!$D$1),Plans!$D$2,AND(F10=Plans!$A$3,Base!H10=Plans!$B$1),Plans!$B$3,AND(F10=Plans!$A$3,Base!H10=Plans!$C$1),Plans!$C$3,AND(F10=Plans!$A$3,Base!H10=Plans!$D$1),Plans!$D$3,AND(F10=Plans!$A$4,Base!H10=Plans!$B$1),Plans!$B$4,AND(F10=Plans!$A$4,Base!H10=Plans!$C$1),Plans!$C$4,AND(F10=Plans!$A$4,Base!H10=Plans!$D$1),Plans!$D$4,AND(F10=Plans!$A$5,Base!H10=Plans!$B$1),Plans!$B$5,AND(F10=Plans!$A$5,Base!H10=Plans!$C$1),Plans!$C$5,AND(F10=Plans!$A$5,Base!H10=Plans!$D$1),Plans!$D$5)</f>
        <v>299.89999999999998</v>
      </c>
      <c r="J10" s="3" t="s">
        <v>145</v>
      </c>
    </row>
    <row r="11" spans="1:10" x14ac:dyDescent="0.35">
      <c r="A11" s="2">
        <v>1333</v>
      </c>
      <c r="B11" s="3" t="s">
        <v>9</v>
      </c>
      <c r="C11" s="3" t="s">
        <v>164</v>
      </c>
      <c r="D11" s="3" t="s">
        <v>127</v>
      </c>
      <c r="E11" s="3" t="s">
        <v>171</v>
      </c>
      <c r="F11" s="3" t="s">
        <v>141</v>
      </c>
      <c r="G11" s="4">
        <v>45739</v>
      </c>
      <c r="H11" s="3" t="s">
        <v>162</v>
      </c>
      <c r="I11" s="9">
        <f>_xlfn.IFS(AND(F11=Plans!$A$2,Base!H11=Plans!$B$1),Plans!$B$2,AND(F11=Plans!$A$2,Base!H11=Plans!$C$1),Plans!$C$2,AND(F11=Plans!$A$2,Base!H11=Plans!$D$1),Plans!$D$2,AND(F11=Plans!$A$3,Base!H11=Plans!$B$1),Plans!$B$3,AND(F11=Plans!$A$3,Base!H11=Plans!$C$1),Plans!$C$3,AND(F11=Plans!$A$3,Base!H11=Plans!$D$1),Plans!$D$3,AND(F11=Plans!$A$4,Base!H11=Plans!$B$1),Plans!$B$4,AND(F11=Plans!$A$4,Base!H11=Plans!$C$1),Plans!$C$4,AND(F11=Plans!$A$4,Base!H11=Plans!$D$1),Plans!$D$4,AND(F11=Plans!$A$5,Base!H11=Plans!$B$1),Plans!$B$5,AND(F11=Plans!$A$5,Base!H11=Plans!$C$1),Plans!$C$5,AND(F11=Plans!$A$5,Base!H11=Plans!$D$1),Plans!$D$5)</f>
        <v>24.9</v>
      </c>
      <c r="J11" s="3" t="s">
        <v>143</v>
      </c>
    </row>
    <row r="12" spans="1:10" x14ac:dyDescent="0.35">
      <c r="A12" s="2">
        <v>1334</v>
      </c>
      <c r="B12" s="3" t="s">
        <v>10</v>
      </c>
      <c r="C12" s="3" t="s">
        <v>164</v>
      </c>
      <c r="D12" s="3" t="s">
        <v>128</v>
      </c>
      <c r="E12" s="3" t="s">
        <v>171</v>
      </c>
      <c r="F12" s="3" t="s">
        <v>140</v>
      </c>
      <c r="G12" s="4">
        <v>45742</v>
      </c>
      <c r="H12" s="3" t="s">
        <v>178</v>
      </c>
      <c r="I12" s="9">
        <f>_xlfn.IFS(AND(F12=Plans!$A$2,Base!H12=Plans!$B$1),Plans!$B$2,AND(F12=Plans!$A$2,Base!H12=Plans!$C$1),Plans!$C$2,AND(F12=Plans!$A$2,Base!H12=Plans!$D$1),Plans!$D$2,AND(F12=Plans!$A$3,Base!H12=Plans!$B$1),Plans!$B$3,AND(F12=Plans!$A$3,Base!H12=Plans!$C$1),Plans!$C$3,AND(F12=Plans!$A$3,Base!H12=Plans!$D$1),Plans!$D$3,AND(F12=Plans!$A$4,Base!H12=Plans!$B$1),Plans!$B$4,AND(F12=Plans!$A$4,Base!H12=Plans!$C$1),Plans!$C$4,AND(F12=Plans!$A$4,Base!H12=Plans!$D$1),Plans!$D$4,AND(F12=Plans!$A$5,Base!H12=Plans!$B$1),Plans!$B$5,AND(F12=Plans!$A$5,Base!H12=Plans!$C$1),Plans!$C$5,AND(F12=Plans!$A$5,Base!H12=Plans!$D$1),Plans!$D$5)</f>
        <v>449.9</v>
      </c>
      <c r="J12" s="3" t="s">
        <v>146</v>
      </c>
    </row>
    <row r="13" spans="1:10" x14ac:dyDescent="0.35">
      <c r="A13" s="2">
        <v>1335</v>
      </c>
      <c r="B13" s="3" t="s">
        <v>11</v>
      </c>
      <c r="C13" s="3" t="s">
        <v>165</v>
      </c>
      <c r="D13" s="3" t="s">
        <v>123</v>
      </c>
      <c r="E13" s="3" t="s">
        <v>171</v>
      </c>
      <c r="F13" s="3" t="s">
        <v>139</v>
      </c>
      <c r="G13" s="4">
        <v>45745</v>
      </c>
      <c r="H13" s="3" t="s">
        <v>162</v>
      </c>
      <c r="I13" s="9">
        <f>_xlfn.IFS(AND(F13=Plans!$A$2,Base!H13=Plans!$B$1),Plans!$B$2,AND(F13=Plans!$A$2,Base!H13=Plans!$C$1),Plans!$C$2,AND(F13=Plans!$A$2,Base!H13=Plans!$D$1),Plans!$D$2,AND(F13=Plans!$A$3,Base!H13=Plans!$B$1),Plans!$B$3,AND(F13=Plans!$A$3,Base!H13=Plans!$C$1),Plans!$C$3,AND(F13=Plans!$A$3,Base!H13=Plans!$D$1),Plans!$D$3,AND(F13=Plans!$A$4,Base!H13=Plans!$B$1),Plans!$B$4,AND(F13=Plans!$A$4,Base!H13=Plans!$C$1),Plans!$C$4,AND(F13=Plans!$A$4,Base!H13=Plans!$D$1),Plans!$D$4,AND(F13=Plans!$A$5,Base!H13=Plans!$B$1),Plans!$B$5,AND(F13=Plans!$A$5,Base!H13=Plans!$C$1),Plans!$C$5,AND(F13=Plans!$A$5,Base!H13=Plans!$D$1),Plans!$D$5)</f>
        <v>74.900000000000006</v>
      </c>
      <c r="J13" s="3" t="s">
        <v>144</v>
      </c>
    </row>
    <row r="14" spans="1:10" x14ac:dyDescent="0.35">
      <c r="A14" s="2">
        <v>1336</v>
      </c>
      <c r="B14" s="3" t="s">
        <v>12</v>
      </c>
      <c r="C14" s="3" t="s">
        <v>164</v>
      </c>
      <c r="D14" s="3" t="s">
        <v>126</v>
      </c>
      <c r="E14" s="3" t="s">
        <v>172</v>
      </c>
      <c r="F14" s="3" t="s">
        <v>141</v>
      </c>
      <c r="G14" s="4">
        <v>45749</v>
      </c>
      <c r="H14" s="3" t="s">
        <v>178</v>
      </c>
      <c r="I14" s="9">
        <f>_xlfn.IFS(AND(F14=Plans!$A$2,Base!H14=Plans!$B$1),Plans!$B$2,AND(F14=Plans!$A$2,Base!H14=Plans!$C$1),Plans!$C$2,AND(F14=Plans!$A$2,Base!H14=Plans!$D$1),Plans!$D$2,AND(F14=Plans!$A$3,Base!H14=Plans!$B$1),Plans!$B$3,AND(F14=Plans!$A$3,Base!H14=Plans!$C$1),Plans!$C$3,AND(F14=Plans!$A$3,Base!H14=Plans!$D$1),Plans!$D$3,AND(F14=Plans!$A$4,Base!H14=Plans!$B$1),Plans!$B$4,AND(F14=Plans!$A$4,Base!H14=Plans!$C$1),Plans!$C$4,AND(F14=Plans!$A$4,Base!H14=Plans!$D$1),Plans!$D$4,AND(F14=Plans!$A$5,Base!H14=Plans!$B$1),Plans!$B$5,AND(F14=Plans!$A$5,Base!H14=Plans!$C$1),Plans!$C$5,AND(F14=Plans!$A$5,Base!H14=Plans!$D$1),Plans!$D$5)</f>
        <v>199.9</v>
      </c>
      <c r="J14" s="3" t="s">
        <v>149</v>
      </c>
    </row>
    <row r="15" spans="1:10" x14ac:dyDescent="0.35">
      <c r="A15" s="2">
        <v>1337</v>
      </c>
      <c r="B15" s="3" t="s">
        <v>2</v>
      </c>
      <c r="C15" s="3" t="s">
        <v>164</v>
      </c>
      <c r="D15" s="3" t="s">
        <v>128</v>
      </c>
      <c r="E15" s="3" t="s">
        <v>171</v>
      </c>
      <c r="F15" s="3" t="s">
        <v>142</v>
      </c>
      <c r="G15" s="4">
        <v>45752</v>
      </c>
      <c r="H15" s="3" t="s">
        <v>162</v>
      </c>
      <c r="I15" s="9">
        <f>_xlfn.IFS(AND(F15=Plans!$A$2,Base!H15=Plans!$B$1),Plans!$B$2,AND(F15=Plans!$A$2,Base!H15=Plans!$C$1),Plans!$C$2,AND(F15=Plans!$A$2,Base!H15=Plans!$D$1),Plans!$D$2,AND(F15=Plans!$A$3,Base!H15=Plans!$B$1),Plans!$B$3,AND(F15=Plans!$A$3,Base!H15=Plans!$C$1),Plans!$C$3,AND(F15=Plans!$A$3,Base!H15=Plans!$D$1),Plans!$D$3,AND(F15=Plans!$A$4,Base!H15=Plans!$B$1),Plans!$B$4,AND(F15=Plans!$A$4,Base!H15=Plans!$C$1),Plans!$C$4,AND(F15=Plans!$A$4,Base!H15=Plans!$D$1),Plans!$D$4,AND(F15=Plans!$A$5,Base!H15=Plans!$B$1),Plans!$B$5,AND(F15=Plans!$A$5,Base!H15=Plans!$C$1),Plans!$C$5,AND(F15=Plans!$A$5,Base!H15=Plans!$D$1),Plans!$D$5)</f>
        <v>39.9</v>
      </c>
      <c r="J15" s="3" t="s">
        <v>150</v>
      </c>
    </row>
    <row r="16" spans="1:10" x14ac:dyDescent="0.35">
      <c r="A16" s="2">
        <v>1338</v>
      </c>
      <c r="B16" s="3" t="s">
        <v>13</v>
      </c>
      <c r="C16" s="3" t="s">
        <v>166</v>
      </c>
      <c r="D16" s="3" t="s">
        <v>129</v>
      </c>
      <c r="E16" s="3" t="s">
        <v>171</v>
      </c>
      <c r="F16" s="3" t="s">
        <v>142</v>
      </c>
      <c r="G16" s="4">
        <v>45755</v>
      </c>
      <c r="H16" s="3" t="s">
        <v>178</v>
      </c>
      <c r="I16" s="9">
        <f>_xlfn.IFS(AND(F16=Plans!$A$2,Base!H16=Plans!$B$1),Plans!$B$2,AND(F16=Plans!$A$2,Base!H16=Plans!$C$1),Plans!$C$2,AND(F16=Plans!$A$2,Base!H16=Plans!$D$1),Plans!$D$2,AND(F16=Plans!$A$3,Base!H16=Plans!$B$1),Plans!$B$3,AND(F16=Plans!$A$3,Base!H16=Plans!$C$1),Plans!$C$3,AND(F16=Plans!$A$3,Base!H16=Plans!$D$1),Plans!$D$3,AND(F16=Plans!$A$4,Base!H16=Plans!$B$1),Plans!$B$4,AND(F16=Plans!$A$4,Base!H16=Plans!$C$1),Plans!$C$4,AND(F16=Plans!$A$4,Base!H16=Plans!$D$1),Plans!$D$4,AND(F16=Plans!$A$5,Base!H16=Plans!$B$1),Plans!$B$5,AND(F16=Plans!$A$5,Base!H16=Plans!$C$1),Plans!$C$5,AND(F16=Plans!$A$5,Base!H16=Plans!$D$1),Plans!$D$5)</f>
        <v>299.89999999999998</v>
      </c>
      <c r="J16" s="3" t="s">
        <v>150</v>
      </c>
    </row>
    <row r="17" spans="1:10" x14ac:dyDescent="0.35">
      <c r="A17" s="2">
        <v>1339</v>
      </c>
      <c r="B17" s="3" t="s">
        <v>14</v>
      </c>
      <c r="C17" s="3" t="s">
        <v>165</v>
      </c>
      <c r="D17" s="3" t="s">
        <v>124</v>
      </c>
      <c r="E17" s="3" t="s">
        <v>170</v>
      </c>
      <c r="F17" s="3" t="s">
        <v>140</v>
      </c>
      <c r="G17" s="4">
        <v>45758</v>
      </c>
      <c r="H17" s="3" t="s">
        <v>178</v>
      </c>
      <c r="I17" s="9">
        <f>_xlfn.IFS(AND(F17=Plans!$A$2,Base!H17=Plans!$B$1),Plans!$B$2,AND(F17=Plans!$A$2,Base!H17=Plans!$C$1),Plans!$C$2,AND(F17=Plans!$A$2,Base!H17=Plans!$D$1),Plans!$D$2,AND(F17=Plans!$A$3,Base!H17=Plans!$B$1),Plans!$B$3,AND(F17=Plans!$A$3,Base!H17=Plans!$C$1),Plans!$C$3,AND(F17=Plans!$A$3,Base!H17=Plans!$D$1),Plans!$D$3,AND(F17=Plans!$A$4,Base!H17=Plans!$B$1),Plans!$B$4,AND(F17=Plans!$A$4,Base!H17=Plans!$C$1),Plans!$C$4,AND(F17=Plans!$A$4,Base!H17=Plans!$D$1),Plans!$D$4,AND(F17=Plans!$A$5,Base!H17=Plans!$B$1),Plans!$B$5,AND(F17=Plans!$A$5,Base!H17=Plans!$C$1),Plans!$C$5,AND(F17=Plans!$A$5,Base!H17=Plans!$D$1),Plans!$D$5)</f>
        <v>449.9</v>
      </c>
      <c r="J17" s="3" t="s">
        <v>149</v>
      </c>
    </row>
    <row r="18" spans="1:10" x14ac:dyDescent="0.35">
      <c r="A18" s="2">
        <v>1340</v>
      </c>
      <c r="B18" s="3" t="s">
        <v>15</v>
      </c>
      <c r="C18" s="3" t="s">
        <v>164</v>
      </c>
      <c r="D18" s="3" t="s">
        <v>131</v>
      </c>
      <c r="E18" s="3" t="s">
        <v>172</v>
      </c>
      <c r="F18" s="3" t="s">
        <v>141</v>
      </c>
      <c r="G18" s="4">
        <v>45761</v>
      </c>
      <c r="H18" s="3" t="s">
        <v>162</v>
      </c>
      <c r="I18" s="9">
        <f>_xlfn.IFS(AND(F18=Plans!$A$2,Base!H18=Plans!$B$1),Plans!$B$2,AND(F18=Plans!$A$2,Base!H18=Plans!$C$1),Plans!$C$2,AND(F18=Plans!$A$2,Base!H18=Plans!$D$1),Plans!$D$2,AND(F18=Plans!$A$3,Base!H18=Plans!$B$1),Plans!$B$3,AND(F18=Plans!$A$3,Base!H18=Plans!$C$1),Plans!$C$3,AND(F18=Plans!$A$3,Base!H18=Plans!$D$1),Plans!$D$3,AND(F18=Plans!$A$4,Base!H18=Plans!$B$1),Plans!$B$4,AND(F18=Plans!$A$4,Base!H18=Plans!$C$1),Plans!$C$4,AND(F18=Plans!$A$4,Base!H18=Plans!$D$1),Plans!$D$4,AND(F18=Plans!$A$5,Base!H18=Plans!$B$1),Plans!$B$5,AND(F18=Plans!$A$5,Base!H18=Plans!$C$1),Plans!$C$5,AND(F18=Plans!$A$5,Base!H18=Plans!$D$1),Plans!$D$5)</f>
        <v>24.9</v>
      </c>
      <c r="J18" s="3" t="s">
        <v>151</v>
      </c>
    </row>
    <row r="19" spans="1:10" x14ac:dyDescent="0.35">
      <c r="A19" s="2">
        <v>1341</v>
      </c>
      <c r="B19" s="3" t="s">
        <v>16</v>
      </c>
      <c r="C19" s="3" t="s">
        <v>165</v>
      </c>
      <c r="D19" s="3" t="s">
        <v>132</v>
      </c>
      <c r="E19" s="3" t="s">
        <v>174</v>
      </c>
      <c r="F19" s="3" t="s">
        <v>140</v>
      </c>
      <c r="G19" s="4">
        <v>45764</v>
      </c>
      <c r="H19" s="3" t="s">
        <v>178</v>
      </c>
      <c r="I19" s="9">
        <f>_xlfn.IFS(AND(F19=Plans!$A$2,Base!H19=Plans!$B$1),Plans!$B$2,AND(F19=Plans!$A$2,Base!H19=Plans!$C$1),Plans!$C$2,AND(F19=Plans!$A$2,Base!H19=Plans!$D$1),Plans!$D$2,AND(F19=Plans!$A$3,Base!H19=Plans!$B$1),Plans!$B$3,AND(F19=Plans!$A$3,Base!H19=Plans!$C$1),Plans!$C$3,AND(F19=Plans!$A$3,Base!H19=Plans!$D$1),Plans!$D$3,AND(F19=Plans!$A$4,Base!H19=Plans!$B$1),Plans!$B$4,AND(F19=Plans!$A$4,Base!H19=Plans!$C$1),Plans!$C$4,AND(F19=Plans!$A$4,Base!H19=Plans!$D$1),Plans!$D$4,AND(F19=Plans!$A$5,Base!H19=Plans!$B$1),Plans!$B$5,AND(F19=Plans!$A$5,Base!H19=Plans!$C$1),Plans!$C$5,AND(F19=Plans!$A$5,Base!H19=Plans!$D$1),Plans!$D$5)</f>
        <v>449.9</v>
      </c>
      <c r="J19" s="3" t="s">
        <v>149</v>
      </c>
    </row>
    <row r="20" spans="1:10" x14ac:dyDescent="0.35">
      <c r="A20" s="2">
        <v>1342</v>
      </c>
      <c r="B20" s="3" t="s">
        <v>17</v>
      </c>
      <c r="C20" s="3" t="s">
        <v>165</v>
      </c>
      <c r="D20" s="3" t="s">
        <v>125</v>
      </c>
      <c r="E20" s="3" t="s">
        <v>173</v>
      </c>
      <c r="F20" s="3" t="s">
        <v>142</v>
      </c>
      <c r="G20" s="4">
        <v>45767</v>
      </c>
      <c r="H20" s="3" t="s">
        <v>162</v>
      </c>
      <c r="I20" s="9">
        <f>_xlfn.IFS(AND(F20=Plans!$A$2,Base!H20=Plans!$B$1),Plans!$B$2,AND(F20=Plans!$A$2,Base!H20=Plans!$C$1),Plans!$C$2,AND(F20=Plans!$A$2,Base!H20=Plans!$D$1),Plans!$D$2,AND(F20=Plans!$A$3,Base!H20=Plans!$B$1),Plans!$B$3,AND(F20=Plans!$A$3,Base!H20=Plans!$C$1),Plans!$C$3,AND(F20=Plans!$A$3,Base!H20=Plans!$D$1),Plans!$D$3,AND(F20=Plans!$A$4,Base!H20=Plans!$B$1),Plans!$B$4,AND(F20=Plans!$A$4,Base!H20=Plans!$C$1),Plans!$C$4,AND(F20=Plans!$A$4,Base!H20=Plans!$D$1),Plans!$D$4,AND(F20=Plans!$A$5,Base!H20=Plans!$B$1),Plans!$B$5,AND(F20=Plans!$A$5,Base!H20=Plans!$C$1),Plans!$C$5,AND(F20=Plans!$A$5,Base!H20=Plans!$D$1),Plans!$D$5)</f>
        <v>39.9</v>
      </c>
      <c r="J20" s="3" t="s">
        <v>146</v>
      </c>
    </row>
    <row r="21" spans="1:10" x14ac:dyDescent="0.35">
      <c r="A21" s="2">
        <v>1343</v>
      </c>
      <c r="B21" s="3" t="s">
        <v>18</v>
      </c>
      <c r="C21" s="3" t="s">
        <v>165</v>
      </c>
      <c r="D21" s="3" t="s">
        <v>133</v>
      </c>
      <c r="E21" s="3" t="s">
        <v>174</v>
      </c>
      <c r="F21" s="3" t="s">
        <v>141</v>
      </c>
      <c r="G21" s="4">
        <v>45770</v>
      </c>
      <c r="H21" s="3" t="s">
        <v>162</v>
      </c>
      <c r="I21" s="9">
        <f>_xlfn.IFS(AND(F21=Plans!$A$2,Base!H21=Plans!$B$1),Plans!$B$2,AND(F21=Plans!$A$2,Base!H21=Plans!$C$1),Plans!$C$2,AND(F21=Plans!$A$2,Base!H21=Plans!$D$1),Plans!$D$2,AND(F21=Plans!$A$3,Base!H21=Plans!$B$1),Plans!$B$3,AND(F21=Plans!$A$3,Base!H21=Plans!$C$1),Plans!$C$3,AND(F21=Plans!$A$3,Base!H21=Plans!$D$1),Plans!$D$3,AND(F21=Plans!$A$4,Base!H21=Plans!$B$1),Plans!$B$4,AND(F21=Plans!$A$4,Base!H21=Plans!$C$1),Plans!$C$4,AND(F21=Plans!$A$4,Base!H21=Plans!$D$1),Plans!$D$4,AND(F21=Plans!$A$5,Base!H21=Plans!$B$1),Plans!$B$5,AND(F21=Plans!$A$5,Base!H21=Plans!$C$1),Plans!$C$5,AND(F21=Plans!$A$5,Base!H21=Plans!$D$1),Plans!$D$5)</f>
        <v>24.9</v>
      </c>
      <c r="J21" s="3" t="s">
        <v>143</v>
      </c>
    </row>
    <row r="22" spans="1:10" x14ac:dyDescent="0.35">
      <c r="A22" s="2">
        <v>1344</v>
      </c>
      <c r="B22" s="3" t="s">
        <v>9</v>
      </c>
      <c r="C22" s="3" t="s">
        <v>164</v>
      </c>
      <c r="D22" s="3" t="s">
        <v>120</v>
      </c>
      <c r="E22" s="3" t="s">
        <v>171</v>
      </c>
      <c r="F22" s="3" t="s">
        <v>142</v>
      </c>
      <c r="G22" s="4">
        <v>45773</v>
      </c>
      <c r="H22" s="3" t="s">
        <v>178</v>
      </c>
      <c r="I22" s="9">
        <f>_xlfn.IFS(AND(F22=Plans!$A$2,Base!H22=Plans!$B$1),Plans!$B$2,AND(F22=Plans!$A$2,Base!H22=Plans!$C$1),Plans!$C$2,AND(F22=Plans!$A$2,Base!H22=Plans!$D$1),Plans!$D$2,AND(F22=Plans!$A$3,Base!H22=Plans!$B$1),Plans!$B$3,AND(F22=Plans!$A$3,Base!H22=Plans!$C$1),Plans!$C$3,AND(F22=Plans!$A$3,Base!H22=Plans!$D$1),Plans!$D$3,AND(F22=Plans!$A$4,Base!H22=Plans!$B$1),Plans!$B$4,AND(F22=Plans!$A$4,Base!H22=Plans!$C$1),Plans!$C$4,AND(F22=Plans!$A$4,Base!H22=Plans!$D$1),Plans!$D$4,AND(F22=Plans!$A$5,Base!H22=Plans!$B$1),Plans!$B$5,AND(F22=Plans!$A$5,Base!H22=Plans!$C$1),Plans!$C$5,AND(F22=Plans!$A$5,Base!H22=Plans!$D$1),Plans!$D$5)</f>
        <v>299.89999999999998</v>
      </c>
      <c r="J22" s="3" t="s">
        <v>146</v>
      </c>
    </row>
    <row r="23" spans="1:10" x14ac:dyDescent="0.35">
      <c r="A23" s="2">
        <v>1345</v>
      </c>
      <c r="B23" s="3" t="s">
        <v>18</v>
      </c>
      <c r="C23" s="3" t="s">
        <v>166</v>
      </c>
      <c r="D23" s="3" t="s">
        <v>134</v>
      </c>
      <c r="E23" s="3" t="s">
        <v>171</v>
      </c>
      <c r="F23" s="3" t="s">
        <v>139</v>
      </c>
      <c r="G23" s="4">
        <v>45776</v>
      </c>
      <c r="H23" s="3" t="s">
        <v>161</v>
      </c>
      <c r="I23" s="9">
        <f>_xlfn.IFS(AND(F23=Plans!$A$2,Base!H23=Plans!$B$1),Plans!$B$2,AND(F23=Plans!$A$2,Base!H23=Plans!$C$1),Plans!$C$2,AND(F23=Plans!$A$2,Base!H23=Plans!$D$1),Plans!$D$2,AND(F23=Plans!$A$3,Base!H23=Plans!$B$1),Plans!$B$3,AND(F23=Plans!$A$3,Base!H23=Plans!$C$1),Plans!$C$3,AND(F23=Plans!$A$3,Base!H23=Plans!$D$1),Plans!$D$3,AND(F23=Plans!$A$4,Base!H23=Plans!$B$1),Plans!$B$4,AND(F23=Plans!$A$4,Base!H23=Plans!$C$1),Plans!$C$4,AND(F23=Plans!$A$4,Base!H23=Plans!$D$1),Plans!$D$4,AND(F23=Plans!$A$5,Base!H23=Plans!$B$1),Plans!$B$5,AND(F23=Plans!$A$5,Base!H23=Plans!$C$1),Plans!$C$5,AND(F23=Plans!$A$5,Base!H23=Plans!$D$1),Plans!$D$5)</f>
        <v>489.9</v>
      </c>
      <c r="J23" s="3" t="s">
        <v>163</v>
      </c>
    </row>
    <row r="24" spans="1:10" x14ac:dyDescent="0.35">
      <c r="A24" s="2">
        <v>1346</v>
      </c>
      <c r="B24" s="3" t="s">
        <v>19</v>
      </c>
      <c r="C24" s="3" t="s">
        <v>165</v>
      </c>
      <c r="D24" s="3" t="s">
        <v>128</v>
      </c>
      <c r="E24" s="3" t="s">
        <v>171</v>
      </c>
      <c r="F24" s="3" t="s">
        <v>142</v>
      </c>
      <c r="G24" s="4">
        <v>45779</v>
      </c>
      <c r="H24" s="3" t="s">
        <v>162</v>
      </c>
      <c r="I24" s="9">
        <f>_xlfn.IFS(AND(F24=Plans!$A$2,Base!H24=Plans!$B$1),Plans!$B$2,AND(F24=Plans!$A$2,Base!H24=Plans!$C$1),Plans!$C$2,AND(F24=Plans!$A$2,Base!H24=Plans!$D$1),Plans!$D$2,AND(F24=Plans!$A$3,Base!H24=Plans!$B$1),Plans!$B$3,AND(F24=Plans!$A$3,Base!H24=Plans!$C$1),Plans!$C$3,AND(F24=Plans!$A$3,Base!H24=Plans!$D$1),Plans!$D$3,AND(F24=Plans!$A$4,Base!H24=Plans!$B$1),Plans!$B$4,AND(F24=Plans!$A$4,Base!H24=Plans!$C$1),Plans!$C$4,AND(F24=Plans!$A$4,Base!H24=Plans!$D$1),Plans!$D$4,AND(F24=Plans!$A$5,Base!H24=Plans!$B$1),Plans!$B$5,AND(F24=Plans!$A$5,Base!H24=Plans!$C$1),Plans!$C$5,AND(F24=Plans!$A$5,Base!H24=Plans!$D$1),Plans!$D$5)</f>
        <v>39.9</v>
      </c>
      <c r="J24" s="3" t="s">
        <v>151</v>
      </c>
    </row>
    <row r="25" spans="1:10" x14ac:dyDescent="0.35">
      <c r="A25" s="2">
        <v>1347</v>
      </c>
      <c r="B25" s="3" t="s">
        <v>11</v>
      </c>
      <c r="C25" s="3" t="s">
        <v>165</v>
      </c>
      <c r="D25" s="3" t="s">
        <v>135</v>
      </c>
      <c r="E25" s="3" t="s">
        <v>172</v>
      </c>
      <c r="F25" s="3" t="s">
        <v>139</v>
      </c>
      <c r="G25" s="4">
        <v>45782</v>
      </c>
      <c r="H25" s="3" t="s">
        <v>178</v>
      </c>
      <c r="I25" s="9">
        <f>_xlfn.IFS(AND(F25=Plans!$A$2,Base!H25=Plans!$B$1),Plans!$B$2,AND(F25=Plans!$A$2,Base!H25=Plans!$C$1),Plans!$C$2,AND(F25=Plans!$A$2,Base!H25=Plans!$D$1),Plans!$D$2,AND(F25=Plans!$A$3,Base!H25=Plans!$B$1),Plans!$B$3,AND(F25=Plans!$A$3,Base!H25=Plans!$C$1),Plans!$C$3,AND(F25=Plans!$A$3,Base!H25=Plans!$D$1),Plans!$D$3,AND(F25=Plans!$A$4,Base!H25=Plans!$B$1),Plans!$B$4,AND(F25=Plans!$A$4,Base!H25=Plans!$C$1),Plans!$C$4,AND(F25=Plans!$A$4,Base!H25=Plans!$D$1),Plans!$D$4,AND(F25=Plans!$A$5,Base!H25=Plans!$B$1),Plans!$B$5,AND(F25=Plans!$A$5,Base!H25=Plans!$C$1),Plans!$C$5,AND(F25=Plans!$A$5,Base!H25=Plans!$D$1),Plans!$D$5)</f>
        <v>599.9</v>
      </c>
      <c r="J25" s="3" t="s">
        <v>145</v>
      </c>
    </row>
    <row r="26" spans="1:10" x14ac:dyDescent="0.35">
      <c r="A26" s="2">
        <v>1348</v>
      </c>
      <c r="B26" s="3" t="s">
        <v>20</v>
      </c>
      <c r="C26" s="3" t="s">
        <v>165</v>
      </c>
      <c r="D26" s="3" t="s">
        <v>125</v>
      </c>
      <c r="E26" s="3" t="s">
        <v>173</v>
      </c>
      <c r="F26" s="3" t="s">
        <v>142</v>
      </c>
      <c r="G26" s="4">
        <v>45785</v>
      </c>
      <c r="H26" s="3" t="s">
        <v>178</v>
      </c>
      <c r="I26" s="9">
        <f>_xlfn.IFS(AND(F26=Plans!$A$2,Base!H26=Plans!$B$1),Plans!$B$2,AND(F26=Plans!$A$2,Base!H26=Plans!$C$1),Plans!$C$2,AND(F26=Plans!$A$2,Base!H26=Plans!$D$1),Plans!$D$2,AND(F26=Plans!$A$3,Base!H26=Plans!$B$1),Plans!$B$3,AND(F26=Plans!$A$3,Base!H26=Plans!$C$1),Plans!$C$3,AND(F26=Plans!$A$3,Base!H26=Plans!$D$1),Plans!$D$3,AND(F26=Plans!$A$4,Base!H26=Plans!$B$1),Plans!$B$4,AND(F26=Plans!$A$4,Base!H26=Plans!$C$1),Plans!$C$4,AND(F26=Plans!$A$4,Base!H26=Plans!$D$1),Plans!$D$4,AND(F26=Plans!$A$5,Base!H26=Plans!$B$1),Plans!$B$5,AND(F26=Plans!$A$5,Base!H26=Plans!$C$1),Plans!$C$5,AND(F26=Plans!$A$5,Base!H26=Plans!$D$1),Plans!$D$5)</f>
        <v>299.89999999999998</v>
      </c>
      <c r="J26" s="3" t="s">
        <v>143</v>
      </c>
    </row>
    <row r="27" spans="1:10" x14ac:dyDescent="0.35">
      <c r="A27" s="2">
        <v>1349</v>
      </c>
      <c r="B27" s="3" t="s">
        <v>21</v>
      </c>
      <c r="C27" s="3" t="s">
        <v>164</v>
      </c>
      <c r="D27" s="3" t="s">
        <v>125</v>
      </c>
      <c r="E27" s="3" t="s">
        <v>173</v>
      </c>
      <c r="F27" s="3" t="s">
        <v>139</v>
      </c>
      <c r="G27" s="4">
        <v>45788</v>
      </c>
      <c r="H27" s="3" t="s">
        <v>162</v>
      </c>
      <c r="I27" s="9">
        <f>_xlfn.IFS(AND(F27=Plans!$A$2,Base!H27=Plans!$B$1),Plans!$B$2,AND(F27=Plans!$A$2,Base!H27=Plans!$C$1),Plans!$C$2,AND(F27=Plans!$A$2,Base!H27=Plans!$D$1),Plans!$D$2,AND(F27=Plans!$A$3,Base!H27=Plans!$B$1),Plans!$B$3,AND(F27=Plans!$A$3,Base!H27=Plans!$C$1),Plans!$C$3,AND(F27=Plans!$A$3,Base!H27=Plans!$D$1),Plans!$D$3,AND(F27=Plans!$A$4,Base!H27=Plans!$B$1),Plans!$B$4,AND(F27=Plans!$A$4,Base!H27=Plans!$C$1),Plans!$C$4,AND(F27=Plans!$A$4,Base!H27=Plans!$D$1),Plans!$D$4,AND(F27=Plans!$A$5,Base!H27=Plans!$B$1),Plans!$B$5,AND(F27=Plans!$A$5,Base!H27=Plans!$C$1),Plans!$C$5,AND(F27=Plans!$A$5,Base!H27=Plans!$D$1),Plans!$D$5)</f>
        <v>74.900000000000006</v>
      </c>
      <c r="J27" s="3" t="s">
        <v>149</v>
      </c>
    </row>
    <row r="28" spans="1:10" x14ac:dyDescent="0.35">
      <c r="A28" s="2">
        <v>1350</v>
      </c>
      <c r="B28" s="3" t="s">
        <v>11</v>
      </c>
      <c r="C28" s="3" t="s">
        <v>165</v>
      </c>
      <c r="D28" s="3" t="s">
        <v>124</v>
      </c>
      <c r="E28" s="3" t="s">
        <v>170</v>
      </c>
      <c r="F28" s="3" t="s">
        <v>140</v>
      </c>
      <c r="G28" s="4">
        <v>45791</v>
      </c>
      <c r="H28" s="3" t="s">
        <v>161</v>
      </c>
      <c r="I28" s="9">
        <f>_xlfn.IFS(AND(F28=Plans!$A$2,Base!H28=Plans!$B$1),Plans!$B$2,AND(F28=Plans!$A$2,Base!H28=Plans!$C$1),Plans!$C$2,AND(F28=Plans!$A$2,Base!H28=Plans!$D$1),Plans!$D$2,AND(F28=Plans!$A$3,Base!H28=Plans!$B$1),Plans!$B$3,AND(F28=Plans!$A$3,Base!H28=Plans!$C$1),Plans!$C$3,AND(F28=Plans!$A$3,Base!H28=Plans!$D$1),Plans!$D$3,AND(F28=Plans!$A$4,Base!H28=Plans!$B$1),Plans!$B$4,AND(F28=Plans!$A$4,Base!H28=Plans!$C$1),Plans!$C$4,AND(F28=Plans!$A$4,Base!H28=Plans!$D$1),Plans!$D$4,AND(F28=Plans!$A$5,Base!H28=Plans!$B$1),Plans!$B$5,AND(F28=Plans!$A$5,Base!H28=Plans!$C$1),Plans!$C$5,AND(F28=Plans!$A$5,Base!H28=Plans!$D$1),Plans!$D$5)</f>
        <v>349.9</v>
      </c>
      <c r="J28" s="3" t="s">
        <v>148</v>
      </c>
    </row>
    <row r="29" spans="1:10" x14ac:dyDescent="0.35">
      <c r="A29" s="2">
        <v>1351</v>
      </c>
      <c r="B29" s="3" t="s">
        <v>22</v>
      </c>
      <c r="C29" s="3" t="s">
        <v>164</v>
      </c>
      <c r="D29" s="3" t="s">
        <v>136</v>
      </c>
      <c r="E29" s="3" t="s">
        <v>173</v>
      </c>
      <c r="F29" s="3" t="s">
        <v>142</v>
      </c>
      <c r="G29" s="4">
        <v>45794</v>
      </c>
      <c r="H29" s="3" t="s">
        <v>162</v>
      </c>
      <c r="I29" s="9">
        <f>_xlfn.IFS(AND(F29=Plans!$A$2,Base!H29=Plans!$B$1),Plans!$B$2,AND(F29=Plans!$A$2,Base!H29=Plans!$C$1),Plans!$C$2,AND(F29=Plans!$A$2,Base!H29=Plans!$D$1),Plans!$D$2,AND(F29=Plans!$A$3,Base!H29=Plans!$B$1),Plans!$B$3,AND(F29=Plans!$A$3,Base!H29=Plans!$C$1),Plans!$C$3,AND(F29=Plans!$A$3,Base!H29=Plans!$D$1),Plans!$D$3,AND(F29=Plans!$A$4,Base!H29=Plans!$B$1),Plans!$B$4,AND(F29=Plans!$A$4,Base!H29=Plans!$C$1),Plans!$C$4,AND(F29=Plans!$A$4,Base!H29=Plans!$D$1),Plans!$D$4,AND(F29=Plans!$A$5,Base!H29=Plans!$B$1),Plans!$B$5,AND(F29=Plans!$A$5,Base!H29=Plans!$C$1),Plans!$C$5,AND(F29=Plans!$A$5,Base!H29=Plans!$D$1),Plans!$D$5)</f>
        <v>39.9</v>
      </c>
      <c r="J29" s="3" t="s">
        <v>147</v>
      </c>
    </row>
    <row r="30" spans="1:10" x14ac:dyDescent="0.35">
      <c r="A30" s="2">
        <v>1352</v>
      </c>
      <c r="B30" s="3" t="s">
        <v>23</v>
      </c>
      <c r="C30" s="3" t="s">
        <v>165</v>
      </c>
      <c r="D30" s="3" t="s">
        <v>137</v>
      </c>
      <c r="E30" s="3" t="s">
        <v>170</v>
      </c>
      <c r="F30" s="3" t="s">
        <v>141</v>
      </c>
      <c r="G30" s="4">
        <v>45797</v>
      </c>
      <c r="H30" s="3" t="s">
        <v>162</v>
      </c>
      <c r="I30" s="9">
        <f>_xlfn.IFS(AND(F30=Plans!$A$2,Base!H30=Plans!$B$1),Plans!$B$2,AND(F30=Plans!$A$2,Base!H30=Plans!$C$1),Plans!$C$2,AND(F30=Plans!$A$2,Base!H30=Plans!$D$1),Plans!$D$2,AND(F30=Plans!$A$3,Base!H30=Plans!$B$1),Plans!$B$3,AND(F30=Plans!$A$3,Base!H30=Plans!$C$1),Plans!$C$3,AND(F30=Plans!$A$3,Base!H30=Plans!$D$1),Plans!$D$3,AND(F30=Plans!$A$4,Base!H30=Plans!$B$1),Plans!$B$4,AND(F30=Plans!$A$4,Base!H30=Plans!$C$1),Plans!$C$4,AND(F30=Plans!$A$4,Base!H30=Plans!$D$1),Plans!$D$4,AND(F30=Plans!$A$5,Base!H30=Plans!$B$1),Plans!$B$5,AND(F30=Plans!$A$5,Base!H30=Plans!$C$1),Plans!$C$5,AND(F30=Plans!$A$5,Base!H30=Plans!$D$1),Plans!$D$5)</f>
        <v>24.9</v>
      </c>
      <c r="J30" s="3" t="s">
        <v>148</v>
      </c>
    </row>
    <row r="31" spans="1:10" x14ac:dyDescent="0.35">
      <c r="A31" s="2">
        <v>1353</v>
      </c>
      <c r="B31" s="3" t="s">
        <v>24</v>
      </c>
      <c r="C31" s="3" t="s">
        <v>165</v>
      </c>
      <c r="D31" s="3" t="s">
        <v>127</v>
      </c>
      <c r="E31" s="3" t="s">
        <v>171</v>
      </c>
      <c r="F31" s="3" t="s">
        <v>141</v>
      </c>
      <c r="G31" s="4">
        <v>45800</v>
      </c>
      <c r="H31" s="3" t="s">
        <v>178</v>
      </c>
      <c r="I31" s="9">
        <f>_xlfn.IFS(AND(F31=Plans!$A$2,Base!H31=Plans!$B$1),Plans!$B$2,AND(F31=Plans!$A$2,Base!H31=Plans!$C$1),Plans!$C$2,AND(F31=Plans!$A$2,Base!H31=Plans!$D$1),Plans!$D$2,AND(F31=Plans!$A$3,Base!H31=Plans!$B$1),Plans!$B$3,AND(F31=Plans!$A$3,Base!H31=Plans!$C$1),Plans!$C$3,AND(F31=Plans!$A$3,Base!H31=Plans!$D$1),Plans!$D$3,AND(F31=Plans!$A$4,Base!H31=Plans!$B$1),Plans!$B$4,AND(F31=Plans!$A$4,Base!H31=Plans!$C$1),Plans!$C$4,AND(F31=Plans!$A$4,Base!H31=Plans!$D$1),Plans!$D$4,AND(F31=Plans!$A$5,Base!H31=Plans!$B$1),Plans!$B$5,AND(F31=Plans!$A$5,Base!H31=Plans!$C$1),Plans!$C$5,AND(F31=Plans!$A$5,Base!H31=Plans!$D$1),Plans!$D$5)</f>
        <v>199.9</v>
      </c>
      <c r="J31" s="3" t="s">
        <v>143</v>
      </c>
    </row>
    <row r="32" spans="1:10" x14ac:dyDescent="0.35">
      <c r="A32" s="2">
        <v>1354</v>
      </c>
      <c r="B32" s="3" t="s">
        <v>25</v>
      </c>
      <c r="C32" s="3" t="s">
        <v>166</v>
      </c>
      <c r="D32" s="3" t="s">
        <v>132</v>
      </c>
      <c r="E32" s="3" t="s">
        <v>174</v>
      </c>
      <c r="F32" s="3" t="s">
        <v>141</v>
      </c>
      <c r="G32" s="4">
        <v>45803</v>
      </c>
      <c r="H32" s="3" t="s">
        <v>178</v>
      </c>
      <c r="I32" s="9">
        <f>_xlfn.IFS(AND(F32=Plans!$A$2,Base!H32=Plans!$B$1),Plans!$B$2,AND(F32=Plans!$A$2,Base!H32=Plans!$C$1),Plans!$C$2,AND(F32=Plans!$A$2,Base!H32=Plans!$D$1),Plans!$D$2,AND(F32=Plans!$A$3,Base!H32=Plans!$B$1),Plans!$B$3,AND(F32=Plans!$A$3,Base!H32=Plans!$C$1),Plans!$C$3,AND(F32=Plans!$A$3,Base!H32=Plans!$D$1),Plans!$D$3,AND(F32=Plans!$A$4,Base!H32=Plans!$B$1),Plans!$B$4,AND(F32=Plans!$A$4,Base!H32=Plans!$C$1),Plans!$C$4,AND(F32=Plans!$A$4,Base!H32=Plans!$D$1),Plans!$D$4,AND(F32=Plans!$A$5,Base!H32=Plans!$B$1),Plans!$B$5,AND(F32=Plans!$A$5,Base!H32=Plans!$C$1),Plans!$C$5,AND(F32=Plans!$A$5,Base!H32=Plans!$D$1),Plans!$D$5)</f>
        <v>199.9</v>
      </c>
      <c r="J32" s="3" t="s">
        <v>146</v>
      </c>
    </row>
    <row r="33" spans="1:10" x14ac:dyDescent="0.35">
      <c r="A33" s="2">
        <v>1355</v>
      </c>
      <c r="B33" s="3" t="s">
        <v>26</v>
      </c>
      <c r="C33" s="3" t="s">
        <v>166</v>
      </c>
      <c r="D33" s="3" t="s">
        <v>127</v>
      </c>
      <c r="E33" s="3" t="s">
        <v>171</v>
      </c>
      <c r="F33" s="3" t="s">
        <v>142</v>
      </c>
      <c r="G33" s="4">
        <v>45806</v>
      </c>
      <c r="H33" s="3" t="s">
        <v>178</v>
      </c>
      <c r="I33" s="9">
        <f>_xlfn.IFS(AND(F33=Plans!$A$2,Base!H33=Plans!$B$1),Plans!$B$2,AND(F33=Plans!$A$2,Base!H33=Plans!$C$1),Plans!$C$2,AND(F33=Plans!$A$2,Base!H33=Plans!$D$1),Plans!$D$2,AND(F33=Plans!$A$3,Base!H33=Plans!$B$1),Plans!$B$3,AND(F33=Plans!$A$3,Base!H33=Plans!$C$1),Plans!$C$3,AND(F33=Plans!$A$3,Base!H33=Plans!$D$1),Plans!$D$3,AND(F33=Plans!$A$4,Base!H33=Plans!$B$1),Plans!$B$4,AND(F33=Plans!$A$4,Base!H33=Plans!$C$1),Plans!$C$4,AND(F33=Plans!$A$4,Base!H33=Plans!$D$1),Plans!$D$4,AND(F33=Plans!$A$5,Base!H33=Plans!$B$1),Plans!$B$5,AND(F33=Plans!$A$5,Base!H33=Plans!$C$1),Plans!$C$5,AND(F33=Plans!$A$5,Base!H33=Plans!$D$1),Plans!$D$5)</f>
        <v>299.89999999999998</v>
      </c>
      <c r="J33" s="3" t="s">
        <v>163</v>
      </c>
    </row>
    <row r="34" spans="1:10" x14ac:dyDescent="0.35">
      <c r="A34" s="2">
        <v>1356</v>
      </c>
      <c r="B34" s="3" t="s">
        <v>27</v>
      </c>
      <c r="C34" s="3" t="s">
        <v>164</v>
      </c>
      <c r="D34" s="3" t="s">
        <v>136</v>
      </c>
      <c r="E34" s="3" t="s">
        <v>173</v>
      </c>
      <c r="F34" s="3" t="s">
        <v>141</v>
      </c>
      <c r="G34" s="4">
        <v>45809</v>
      </c>
      <c r="H34" s="3" t="s">
        <v>178</v>
      </c>
      <c r="I34" s="9">
        <f>_xlfn.IFS(AND(F34=Plans!$A$2,Base!H34=Plans!$B$1),Plans!$B$2,AND(F34=Plans!$A$2,Base!H34=Plans!$C$1),Plans!$C$2,AND(F34=Plans!$A$2,Base!H34=Plans!$D$1),Plans!$D$2,AND(F34=Plans!$A$3,Base!H34=Plans!$B$1),Plans!$B$3,AND(F34=Plans!$A$3,Base!H34=Plans!$C$1),Plans!$C$3,AND(F34=Plans!$A$3,Base!H34=Plans!$D$1),Plans!$D$3,AND(F34=Plans!$A$4,Base!H34=Plans!$B$1),Plans!$B$4,AND(F34=Plans!$A$4,Base!H34=Plans!$C$1),Plans!$C$4,AND(F34=Plans!$A$4,Base!H34=Plans!$D$1),Plans!$D$4,AND(F34=Plans!$A$5,Base!H34=Plans!$B$1),Plans!$B$5,AND(F34=Plans!$A$5,Base!H34=Plans!$C$1),Plans!$C$5,AND(F34=Plans!$A$5,Base!H34=Plans!$D$1),Plans!$D$5)</f>
        <v>199.9</v>
      </c>
      <c r="J34" s="3" t="s">
        <v>147</v>
      </c>
    </row>
    <row r="35" spans="1:10" x14ac:dyDescent="0.35">
      <c r="A35" s="2">
        <v>1357</v>
      </c>
      <c r="B35" s="3" t="s">
        <v>28</v>
      </c>
      <c r="C35" s="3" t="s">
        <v>165</v>
      </c>
      <c r="D35" s="3" t="s">
        <v>124</v>
      </c>
      <c r="E35" s="3" t="s">
        <v>170</v>
      </c>
      <c r="F35" s="3" t="s">
        <v>139</v>
      </c>
      <c r="G35" s="4">
        <v>45812</v>
      </c>
      <c r="H35" s="3" t="s">
        <v>178</v>
      </c>
      <c r="I35" s="9">
        <f>_xlfn.IFS(AND(F35=Plans!$A$2,Base!H35=Plans!$B$1),Plans!$B$2,AND(F35=Plans!$A$2,Base!H35=Plans!$C$1),Plans!$C$2,AND(F35=Plans!$A$2,Base!H35=Plans!$D$1),Plans!$D$2,AND(F35=Plans!$A$3,Base!H35=Plans!$B$1),Plans!$B$3,AND(F35=Plans!$A$3,Base!H35=Plans!$C$1),Plans!$C$3,AND(F35=Plans!$A$3,Base!H35=Plans!$D$1),Plans!$D$3,AND(F35=Plans!$A$4,Base!H35=Plans!$B$1),Plans!$B$4,AND(F35=Plans!$A$4,Base!H35=Plans!$C$1),Plans!$C$4,AND(F35=Plans!$A$4,Base!H35=Plans!$D$1),Plans!$D$4,AND(F35=Plans!$A$5,Base!H35=Plans!$B$1),Plans!$B$5,AND(F35=Plans!$A$5,Base!H35=Plans!$C$1),Plans!$C$5,AND(F35=Plans!$A$5,Base!H35=Plans!$D$1),Plans!$D$5)</f>
        <v>599.9</v>
      </c>
      <c r="J35" s="3" t="s">
        <v>146</v>
      </c>
    </row>
    <row r="36" spans="1:10" x14ac:dyDescent="0.35">
      <c r="A36" s="2">
        <v>1358</v>
      </c>
      <c r="B36" s="3" t="s">
        <v>29</v>
      </c>
      <c r="C36" s="3" t="s">
        <v>164</v>
      </c>
      <c r="D36" s="3" t="s">
        <v>136</v>
      </c>
      <c r="E36" s="3" t="s">
        <v>173</v>
      </c>
      <c r="F36" s="3" t="s">
        <v>139</v>
      </c>
      <c r="G36" s="4">
        <v>45815</v>
      </c>
      <c r="H36" s="3" t="s">
        <v>162</v>
      </c>
      <c r="I36" s="9">
        <f>_xlfn.IFS(AND(F36=Plans!$A$2,Base!H36=Plans!$B$1),Plans!$B$2,AND(F36=Plans!$A$2,Base!H36=Plans!$C$1),Plans!$C$2,AND(F36=Plans!$A$2,Base!H36=Plans!$D$1),Plans!$D$2,AND(F36=Plans!$A$3,Base!H36=Plans!$B$1),Plans!$B$3,AND(F36=Plans!$A$3,Base!H36=Plans!$C$1),Plans!$C$3,AND(F36=Plans!$A$3,Base!H36=Plans!$D$1),Plans!$D$3,AND(F36=Plans!$A$4,Base!H36=Plans!$B$1),Plans!$B$4,AND(F36=Plans!$A$4,Base!H36=Plans!$C$1),Plans!$C$4,AND(F36=Plans!$A$4,Base!H36=Plans!$D$1),Plans!$D$4,AND(F36=Plans!$A$5,Base!H36=Plans!$B$1),Plans!$B$5,AND(F36=Plans!$A$5,Base!H36=Plans!$C$1),Plans!$C$5,AND(F36=Plans!$A$5,Base!H36=Plans!$D$1),Plans!$D$5)</f>
        <v>74.900000000000006</v>
      </c>
      <c r="J36" s="3" t="s">
        <v>151</v>
      </c>
    </row>
    <row r="37" spans="1:10" x14ac:dyDescent="0.35">
      <c r="A37" s="2">
        <v>1359</v>
      </c>
      <c r="B37" s="3" t="s">
        <v>30</v>
      </c>
      <c r="C37" s="3" t="s">
        <v>164</v>
      </c>
      <c r="D37" s="3" t="s">
        <v>137</v>
      </c>
      <c r="E37" s="3" t="s">
        <v>170</v>
      </c>
      <c r="F37" s="3" t="s">
        <v>139</v>
      </c>
      <c r="G37" s="4">
        <v>45819</v>
      </c>
      <c r="H37" s="3" t="s">
        <v>162</v>
      </c>
      <c r="I37" s="9">
        <f>_xlfn.IFS(AND(F37=Plans!$A$2,Base!H37=Plans!$B$1),Plans!$B$2,AND(F37=Plans!$A$2,Base!H37=Plans!$C$1),Plans!$C$2,AND(F37=Plans!$A$2,Base!H37=Plans!$D$1),Plans!$D$2,AND(F37=Plans!$A$3,Base!H37=Plans!$B$1),Plans!$B$3,AND(F37=Plans!$A$3,Base!H37=Plans!$C$1),Plans!$C$3,AND(F37=Plans!$A$3,Base!H37=Plans!$D$1),Plans!$D$3,AND(F37=Plans!$A$4,Base!H37=Plans!$B$1),Plans!$B$4,AND(F37=Plans!$A$4,Base!H37=Plans!$C$1),Plans!$C$4,AND(F37=Plans!$A$4,Base!H37=Plans!$D$1),Plans!$D$4,AND(F37=Plans!$A$5,Base!H37=Plans!$B$1),Plans!$B$5,AND(F37=Plans!$A$5,Base!H37=Plans!$C$1),Plans!$C$5,AND(F37=Plans!$A$5,Base!H37=Plans!$D$1),Plans!$D$5)</f>
        <v>74.900000000000006</v>
      </c>
      <c r="J37" s="3" t="s">
        <v>151</v>
      </c>
    </row>
    <row r="38" spans="1:10" x14ac:dyDescent="0.35">
      <c r="A38" s="2">
        <v>1360</v>
      </c>
      <c r="B38" s="3" t="s">
        <v>31</v>
      </c>
      <c r="C38" s="3" t="s">
        <v>166</v>
      </c>
      <c r="D38" s="3" t="s">
        <v>130</v>
      </c>
      <c r="E38" s="3" t="s">
        <v>171</v>
      </c>
      <c r="F38" s="3" t="s">
        <v>142</v>
      </c>
      <c r="G38" s="4">
        <v>45822</v>
      </c>
      <c r="H38" s="3" t="s">
        <v>162</v>
      </c>
      <c r="I38" s="9">
        <f>_xlfn.IFS(AND(F38=Plans!$A$2,Base!H38=Plans!$B$1),Plans!$B$2,AND(F38=Plans!$A$2,Base!H38=Plans!$C$1),Plans!$C$2,AND(F38=Plans!$A$2,Base!H38=Plans!$D$1),Plans!$D$2,AND(F38=Plans!$A$3,Base!H38=Plans!$B$1),Plans!$B$3,AND(F38=Plans!$A$3,Base!H38=Plans!$C$1),Plans!$C$3,AND(F38=Plans!$A$3,Base!H38=Plans!$D$1),Plans!$D$3,AND(F38=Plans!$A$4,Base!H38=Plans!$B$1),Plans!$B$4,AND(F38=Plans!$A$4,Base!H38=Plans!$C$1),Plans!$C$4,AND(F38=Plans!$A$4,Base!H38=Plans!$D$1),Plans!$D$4,AND(F38=Plans!$A$5,Base!H38=Plans!$B$1),Plans!$B$5,AND(F38=Plans!$A$5,Base!H38=Plans!$C$1),Plans!$C$5,AND(F38=Plans!$A$5,Base!H38=Plans!$D$1),Plans!$D$5)</f>
        <v>39.9</v>
      </c>
      <c r="J38" s="3" t="s">
        <v>145</v>
      </c>
    </row>
    <row r="39" spans="1:10" x14ac:dyDescent="0.35">
      <c r="A39" s="2">
        <v>1361</v>
      </c>
      <c r="B39" s="3" t="s">
        <v>1</v>
      </c>
      <c r="C39" s="3" t="s">
        <v>165</v>
      </c>
      <c r="D39" s="3" t="s">
        <v>119</v>
      </c>
      <c r="E39" s="3" t="s">
        <v>170</v>
      </c>
      <c r="F39" s="3" t="s">
        <v>139</v>
      </c>
      <c r="G39" s="4">
        <v>45825</v>
      </c>
      <c r="H39" s="3" t="s">
        <v>161</v>
      </c>
      <c r="I39" s="9">
        <f>_xlfn.IFS(AND(F39=Plans!$A$2,Base!H39=Plans!$B$1),Plans!$B$2,AND(F39=Plans!$A$2,Base!H39=Plans!$C$1),Plans!$C$2,AND(F39=Plans!$A$2,Base!H39=Plans!$D$1),Plans!$D$2,AND(F39=Plans!$A$3,Base!H39=Plans!$B$1),Plans!$B$3,AND(F39=Plans!$A$3,Base!H39=Plans!$C$1),Plans!$C$3,AND(F39=Plans!$A$3,Base!H39=Plans!$D$1),Plans!$D$3,AND(F39=Plans!$A$4,Base!H39=Plans!$B$1),Plans!$B$4,AND(F39=Plans!$A$4,Base!H39=Plans!$C$1),Plans!$C$4,AND(F39=Plans!$A$4,Base!H39=Plans!$D$1),Plans!$D$4,AND(F39=Plans!$A$5,Base!H39=Plans!$B$1),Plans!$B$5,AND(F39=Plans!$A$5,Base!H39=Plans!$C$1),Plans!$C$5,AND(F39=Plans!$A$5,Base!H39=Plans!$D$1),Plans!$D$5)</f>
        <v>489.9</v>
      </c>
      <c r="J39" s="3" t="s">
        <v>148</v>
      </c>
    </row>
    <row r="40" spans="1:10" x14ac:dyDescent="0.35">
      <c r="A40" s="2">
        <v>1362</v>
      </c>
      <c r="B40" s="3" t="s">
        <v>32</v>
      </c>
      <c r="C40" s="3" t="s">
        <v>166</v>
      </c>
      <c r="D40" s="3" t="s">
        <v>119</v>
      </c>
      <c r="E40" s="3" t="s">
        <v>170</v>
      </c>
      <c r="F40" s="3" t="s">
        <v>140</v>
      </c>
      <c r="G40" s="4">
        <v>45828</v>
      </c>
      <c r="H40" s="3" t="s">
        <v>161</v>
      </c>
      <c r="I40" s="9">
        <f>_xlfn.IFS(AND(F40=Plans!$A$2,Base!H40=Plans!$B$1),Plans!$B$2,AND(F40=Plans!$A$2,Base!H40=Plans!$C$1),Plans!$C$2,AND(F40=Plans!$A$2,Base!H40=Plans!$D$1),Plans!$D$2,AND(F40=Plans!$A$3,Base!H40=Plans!$B$1),Plans!$B$3,AND(F40=Plans!$A$3,Base!H40=Plans!$C$1),Plans!$C$3,AND(F40=Plans!$A$3,Base!H40=Plans!$D$1),Plans!$D$3,AND(F40=Plans!$A$4,Base!H40=Plans!$B$1),Plans!$B$4,AND(F40=Plans!$A$4,Base!H40=Plans!$C$1),Plans!$C$4,AND(F40=Plans!$A$4,Base!H40=Plans!$D$1),Plans!$D$4,AND(F40=Plans!$A$5,Base!H40=Plans!$B$1),Plans!$B$5,AND(F40=Plans!$A$5,Base!H40=Plans!$C$1),Plans!$C$5,AND(F40=Plans!$A$5,Base!H40=Plans!$D$1),Plans!$D$5)</f>
        <v>349.9</v>
      </c>
      <c r="J40" s="3" t="s">
        <v>145</v>
      </c>
    </row>
    <row r="41" spans="1:10" x14ac:dyDescent="0.35">
      <c r="A41" s="2">
        <v>1363</v>
      </c>
      <c r="B41" s="3" t="s">
        <v>33</v>
      </c>
      <c r="C41" s="3" t="s">
        <v>164</v>
      </c>
      <c r="D41" s="3" t="s">
        <v>128</v>
      </c>
      <c r="E41" s="3" t="s">
        <v>171</v>
      </c>
      <c r="F41" s="3" t="s">
        <v>139</v>
      </c>
      <c r="G41" s="4">
        <v>45831</v>
      </c>
      <c r="H41" s="3" t="s">
        <v>162</v>
      </c>
      <c r="I41" s="9">
        <f>_xlfn.IFS(AND(F41=Plans!$A$2,Base!H41=Plans!$B$1),Plans!$B$2,AND(F41=Plans!$A$2,Base!H41=Plans!$C$1),Plans!$C$2,AND(F41=Plans!$A$2,Base!H41=Plans!$D$1),Plans!$D$2,AND(F41=Plans!$A$3,Base!H41=Plans!$B$1),Plans!$B$3,AND(F41=Plans!$A$3,Base!H41=Plans!$C$1),Plans!$C$3,AND(F41=Plans!$A$3,Base!H41=Plans!$D$1),Plans!$D$3,AND(F41=Plans!$A$4,Base!H41=Plans!$B$1),Plans!$B$4,AND(F41=Plans!$A$4,Base!H41=Plans!$C$1),Plans!$C$4,AND(F41=Plans!$A$4,Base!H41=Plans!$D$1),Plans!$D$4,AND(F41=Plans!$A$5,Base!H41=Plans!$B$1),Plans!$B$5,AND(F41=Plans!$A$5,Base!H41=Plans!$C$1),Plans!$C$5,AND(F41=Plans!$A$5,Base!H41=Plans!$D$1),Plans!$D$5)</f>
        <v>74.900000000000006</v>
      </c>
      <c r="J41" s="3" t="s">
        <v>148</v>
      </c>
    </row>
    <row r="42" spans="1:10" x14ac:dyDescent="0.35">
      <c r="A42" s="2">
        <v>1364</v>
      </c>
      <c r="B42" s="3" t="s">
        <v>34</v>
      </c>
      <c r="C42" s="3" t="s">
        <v>164</v>
      </c>
      <c r="D42" s="3" t="s">
        <v>138</v>
      </c>
      <c r="E42" s="3" t="s">
        <v>171</v>
      </c>
      <c r="F42" s="3" t="s">
        <v>141</v>
      </c>
      <c r="G42" s="4">
        <v>45834</v>
      </c>
      <c r="H42" s="3" t="s">
        <v>162</v>
      </c>
      <c r="I42" s="9">
        <f>_xlfn.IFS(AND(F42=Plans!$A$2,Base!H42=Plans!$B$1),Plans!$B$2,AND(F42=Plans!$A$2,Base!H42=Plans!$C$1),Plans!$C$2,AND(F42=Plans!$A$2,Base!H42=Plans!$D$1),Plans!$D$2,AND(F42=Plans!$A$3,Base!H42=Plans!$B$1),Plans!$B$3,AND(F42=Plans!$A$3,Base!H42=Plans!$C$1),Plans!$C$3,AND(F42=Plans!$A$3,Base!H42=Plans!$D$1),Plans!$D$3,AND(F42=Plans!$A$4,Base!H42=Plans!$B$1),Plans!$B$4,AND(F42=Plans!$A$4,Base!H42=Plans!$C$1),Plans!$C$4,AND(F42=Plans!$A$4,Base!H42=Plans!$D$1),Plans!$D$4,AND(F42=Plans!$A$5,Base!H42=Plans!$B$1),Plans!$B$5,AND(F42=Plans!$A$5,Base!H42=Plans!$C$1),Plans!$C$5,AND(F42=Plans!$A$5,Base!H42=Plans!$D$1),Plans!$D$5)</f>
        <v>24.9</v>
      </c>
      <c r="J42" s="3" t="s">
        <v>149</v>
      </c>
    </row>
    <row r="43" spans="1:10" x14ac:dyDescent="0.35">
      <c r="A43" s="2">
        <v>1365</v>
      </c>
      <c r="B43" s="3" t="s">
        <v>35</v>
      </c>
      <c r="C43" s="3" t="s">
        <v>165</v>
      </c>
      <c r="D43" s="3" t="s">
        <v>119</v>
      </c>
      <c r="E43" s="3" t="s">
        <v>170</v>
      </c>
      <c r="F43" s="3" t="s">
        <v>142</v>
      </c>
      <c r="G43" s="4">
        <v>45837</v>
      </c>
      <c r="H43" s="3" t="s">
        <v>162</v>
      </c>
      <c r="I43" s="9">
        <f>_xlfn.IFS(AND(F43=Plans!$A$2,Base!H43=Plans!$B$1),Plans!$B$2,AND(F43=Plans!$A$2,Base!H43=Plans!$C$1),Plans!$C$2,AND(F43=Plans!$A$2,Base!H43=Plans!$D$1),Plans!$D$2,AND(F43=Plans!$A$3,Base!H43=Plans!$B$1),Plans!$B$3,AND(F43=Plans!$A$3,Base!H43=Plans!$C$1),Plans!$C$3,AND(F43=Plans!$A$3,Base!H43=Plans!$D$1),Plans!$D$3,AND(F43=Plans!$A$4,Base!H43=Plans!$B$1),Plans!$B$4,AND(F43=Plans!$A$4,Base!H43=Plans!$C$1),Plans!$C$4,AND(F43=Plans!$A$4,Base!H43=Plans!$D$1),Plans!$D$4,AND(F43=Plans!$A$5,Base!H43=Plans!$B$1),Plans!$B$5,AND(F43=Plans!$A$5,Base!H43=Plans!$C$1),Plans!$C$5,AND(F43=Plans!$A$5,Base!H43=Plans!$D$1),Plans!$D$5)</f>
        <v>39.9</v>
      </c>
      <c r="J43" s="3" t="s">
        <v>147</v>
      </c>
    </row>
    <row r="44" spans="1:10" x14ac:dyDescent="0.35">
      <c r="A44" s="2">
        <v>1366</v>
      </c>
      <c r="B44" s="3" t="s">
        <v>36</v>
      </c>
      <c r="C44" s="3" t="s">
        <v>165</v>
      </c>
      <c r="D44" s="3" t="s">
        <v>121</v>
      </c>
      <c r="E44" s="3" t="s">
        <v>172</v>
      </c>
      <c r="F44" s="3" t="s">
        <v>140</v>
      </c>
      <c r="G44" s="4">
        <v>45840</v>
      </c>
      <c r="H44" s="3" t="s">
        <v>161</v>
      </c>
      <c r="I44" s="9">
        <f>_xlfn.IFS(AND(F44=Plans!$A$2,Base!H44=Plans!$B$1),Plans!$B$2,AND(F44=Plans!$A$2,Base!H44=Plans!$C$1),Plans!$C$2,AND(F44=Plans!$A$2,Base!H44=Plans!$D$1),Plans!$D$2,AND(F44=Plans!$A$3,Base!H44=Plans!$B$1),Plans!$B$3,AND(F44=Plans!$A$3,Base!H44=Plans!$C$1),Plans!$C$3,AND(F44=Plans!$A$3,Base!H44=Plans!$D$1),Plans!$D$3,AND(F44=Plans!$A$4,Base!H44=Plans!$B$1),Plans!$B$4,AND(F44=Plans!$A$4,Base!H44=Plans!$C$1),Plans!$C$4,AND(F44=Plans!$A$4,Base!H44=Plans!$D$1),Plans!$D$4,AND(F44=Plans!$A$5,Base!H44=Plans!$B$1),Plans!$B$5,AND(F44=Plans!$A$5,Base!H44=Plans!$C$1),Plans!$C$5,AND(F44=Plans!$A$5,Base!H44=Plans!$D$1),Plans!$D$5)</f>
        <v>349.9</v>
      </c>
      <c r="J44" s="3" t="s">
        <v>143</v>
      </c>
    </row>
    <row r="45" spans="1:10" x14ac:dyDescent="0.35">
      <c r="A45" s="2">
        <v>1367</v>
      </c>
      <c r="B45" s="3" t="s">
        <v>37</v>
      </c>
      <c r="C45" s="3" t="s">
        <v>164</v>
      </c>
      <c r="D45" s="3" t="s">
        <v>130</v>
      </c>
      <c r="E45" s="3" t="s">
        <v>171</v>
      </c>
      <c r="F45" s="3" t="s">
        <v>140</v>
      </c>
      <c r="G45" s="4">
        <v>45843</v>
      </c>
      <c r="H45" s="3" t="s">
        <v>162</v>
      </c>
      <c r="I45" s="9">
        <f>_xlfn.IFS(AND(F45=Plans!$A$2,Base!H45=Plans!$B$1),Plans!$B$2,AND(F45=Plans!$A$2,Base!H45=Plans!$C$1),Plans!$C$2,AND(F45=Plans!$A$2,Base!H45=Plans!$D$1),Plans!$D$2,AND(F45=Plans!$A$3,Base!H45=Plans!$B$1),Plans!$B$3,AND(F45=Plans!$A$3,Base!H45=Plans!$C$1),Plans!$C$3,AND(F45=Plans!$A$3,Base!H45=Plans!$D$1),Plans!$D$3,AND(F45=Plans!$A$4,Base!H45=Plans!$B$1),Plans!$B$4,AND(F45=Plans!$A$4,Base!H45=Plans!$C$1),Plans!$C$4,AND(F45=Plans!$A$4,Base!H45=Plans!$D$1),Plans!$D$4,AND(F45=Plans!$A$5,Base!H45=Plans!$B$1),Plans!$B$5,AND(F45=Plans!$A$5,Base!H45=Plans!$C$1),Plans!$C$5,AND(F45=Plans!$A$5,Base!H45=Plans!$D$1),Plans!$D$5)</f>
        <v>54.9</v>
      </c>
      <c r="J45" s="3" t="s">
        <v>143</v>
      </c>
    </row>
    <row r="46" spans="1:10" x14ac:dyDescent="0.35">
      <c r="A46" s="2">
        <v>1368</v>
      </c>
      <c r="B46" s="3" t="s">
        <v>38</v>
      </c>
      <c r="C46" s="3" t="s">
        <v>165</v>
      </c>
      <c r="D46" s="3" t="s">
        <v>134</v>
      </c>
      <c r="E46" s="3" t="s">
        <v>171</v>
      </c>
      <c r="F46" s="3" t="s">
        <v>142</v>
      </c>
      <c r="G46" s="4">
        <v>45846</v>
      </c>
      <c r="H46" s="3" t="s">
        <v>178</v>
      </c>
      <c r="I46" s="9">
        <f>_xlfn.IFS(AND(F46=Plans!$A$2,Base!H46=Plans!$B$1),Plans!$B$2,AND(F46=Plans!$A$2,Base!H46=Plans!$C$1),Plans!$C$2,AND(F46=Plans!$A$2,Base!H46=Plans!$D$1),Plans!$D$2,AND(F46=Plans!$A$3,Base!H46=Plans!$B$1),Plans!$B$3,AND(F46=Plans!$A$3,Base!H46=Plans!$C$1),Plans!$C$3,AND(F46=Plans!$A$3,Base!H46=Plans!$D$1),Plans!$D$3,AND(F46=Plans!$A$4,Base!H46=Plans!$B$1),Plans!$B$4,AND(F46=Plans!$A$4,Base!H46=Plans!$C$1),Plans!$C$4,AND(F46=Plans!$A$4,Base!H46=Plans!$D$1),Plans!$D$4,AND(F46=Plans!$A$5,Base!H46=Plans!$B$1),Plans!$B$5,AND(F46=Plans!$A$5,Base!H46=Plans!$C$1),Plans!$C$5,AND(F46=Plans!$A$5,Base!H46=Plans!$D$1),Plans!$D$5)</f>
        <v>299.89999999999998</v>
      </c>
      <c r="J46" s="3" t="s">
        <v>151</v>
      </c>
    </row>
    <row r="47" spans="1:10" x14ac:dyDescent="0.35">
      <c r="A47" s="2">
        <v>1369</v>
      </c>
      <c r="B47" s="3" t="s">
        <v>39</v>
      </c>
      <c r="C47" s="3" t="s">
        <v>164</v>
      </c>
      <c r="D47" s="3" t="s">
        <v>123</v>
      </c>
      <c r="E47" s="3" t="s">
        <v>171</v>
      </c>
      <c r="F47" s="3" t="s">
        <v>142</v>
      </c>
      <c r="G47" s="4">
        <v>45849</v>
      </c>
      <c r="H47" s="3" t="s">
        <v>162</v>
      </c>
      <c r="I47" s="9">
        <f>_xlfn.IFS(AND(F47=Plans!$A$2,Base!H47=Plans!$B$1),Plans!$B$2,AND(F47=Plans!$A$2,Base!H47=Plans!$C$1),Plans!$C$2,AND(F47=Plans!$A$2,Base!H47=Plans!$D$1),Plans!$D$2,AND(F47=Plans!$A$3,Base!H47=Plans!$B$1),Plans!$B$3,AND(F47=Plans!$A$3,Base!H47=Plans!$C$1),Plans!$C$3,AND(F47=Plans!$A$3,Base!H47=Plans!$D$1),Plans!$D$3,AND(F47=Plans!$A$4,Base!H47=Plans!$B$1),Plans!$B$4,AND(F47=Plans!$A$4,Base!H47=Plans!$C$1),Plans!$C$4,AND(F47=Plans!$A$4,Base!H47=Plans!$D$1),Plans!$D$4,AND(F47=Plans!$A$5,Base!H47=Plans!$B$1),Plans!$B$5,AND(F47=Plans!$A$5,Base!H47=Plans!$C$1),Plans!$C$5,AND(F47=Plans!$A$5,Base!H47=Plans!$D$1),Plans!$D$5)</f>
        <v>39.9</v>
      </c>
      <c r="J47" s="3" t="s">
        <v>163</v>
      </c>
    </row>
    <row r="48" spans="1:10" x14ac:dyDescent="0.35">
      <c r="A48" s="2">
        <v>1370</v>
      </c>
      <c r="B48" s="3" t="s">
        <v>21</v>
      </c>
      <c r="C48" s="3" t="s">
        <v>164</v>
      </c>
      <c r="D48" s="3" t="s">
        <v>124</v>
      </c>
      <c r="E48" s="3" t="s">
        <v>170</v>
      </c>
      <c r="F48" s="3" t="s">
        <v>140</v>
      </c>
      <c r="G48" s="4">
        <v>45852</v>
      </c>
      <c r="H48" s="3" t="s">
        <v>161</v>
      </c>
      <c r="I48" s="9">
        <f>_xlfn.IFS(AND(F48=Plans!$A$2,Base!H48=Plans!$B$1),Plans!$B$2,AND(F48=Plans!$A$2,Base!H48=Plans!$C$1),Plans!$C$2,AND(F48=Plans!$A$2,Base!H48=Plans!$D$1),Plans!$D$2,AND(F48=Plans!$A$3,Base!H48=Plans!$B$1),Plans!$B$3,AND(F48=Plans!$A$3,Base!H48=Plans!$C$1),Plans!$C$3,AND(F48=Plans!$A$3,Base!H48=Plans!$D$1),Plans!$D$3,AND(F48=Plans!$A$4,Base!H48=Plans!$B$1),Plans!$B$4,AND(F48=Plans!$A$4,Base!H48=Plans!$C$1),Plans!$C$4,AND(F48=Plans!$A$4,Base!H48=Plans!$D$1),Plans!$D$4,AND(F48=Plans!$A$5,Base!H48=Plans!$B$1),Plans!$B$5,AND(F48=Plans!$A$5,Base!H48=Plans!$C$1),Plans!$C$5,AND(F48=Plans!$A$5,Base!H48=Plans!$D$1),Plans!$D$5)</f>
        <v>349.9</v>
      </c>
      <c r="J48" s="3" t="s">
        <v>146</v>
      </c>
    </row>
    <row r="49" spans="1:10" x14ac:dyDescent="0.35">
      <c r="A49" s="2">
        <v>1371</v>
      </c>
      <c r="B49" s="3" t="s">
        <v>40</v>
      </c>
      <c r="C49" s="3" t="s">
        <v>165</v>
      </c>
      <c r="D49" s="3" t="s">
        <v>133</v>
      </c>
      <c r="E49" s="3" t="s">
        <v>174</v>
      </c>
      <c r="F49" s="3" t="s">
        <v>140</v>
      </c>
      <c r="G49" s="4">
        <v>45855</v>
      </c>
      <c r="H49" s="3" t="s">
        <v>161</v>
      </c>
      <c r="I49" s="9">
        <f>_xlfn.IFS(AND(F49=Plans!$A$2,Base!H49=Plans!$B$1),Plans!$B$2,AND(F49=Plans!$A$2,Base!H49=Plans!$C$1),Plans!$C$2,AND(F49=Plans!$A$2,Base!H49=Plans!$D$1),Plans!$D$2,AND(F49=Plans!$A$3,Base!H49=Plans!$B$1),Plans!$B$3,AND(F49=Plans!$A$3,Base!H49=Plans!$C$1),Plans!$C$3,AND(F49=Plans!$A$3,Base!H49=Plans!$D$1),Plans!$D$3,AND(F49=Plans!$A$4,Base!H49=Plans!$B$1),Plans!$B$4,AND(F49=Plans!$A$4,Base!H49=Plans!$C$1),Plans!$C$4,AND(F49=Plans!$A$4,Base!H49=Plans!$D$1),Plans!$D$4,AND(F49=Plans!$A$5,Base!H49=Plans!$B$1),Plans!$B$5,AND(F49=Plans!$A$5,Base!H49=Plans!$C$1),Plans!$C$5,AND(F49=Plans!$A$5,Base!H49=Plans!$D$1),Plans!$D$5)</f>
        <v>349.9</v>
      </c>
      <c r="J49" s="3" t="s">
        <v>151</v>
      </c>
    </row>
    <row r="50" spans="1:10" x14ac:dyDescent="0.35">
      <c r="A50" s="2">
        <v>1372</v>
      </c>
      <c r="B50" s="3" t="s">
        <v>41</v>
      </c>
      <c r="C50" s="3" t="s">
        <v>165</v>
      </c>
      <c r="D50" s="3" t="s">
        <v>125</v>
      </c>
      <c r="E50" s="3" t="s">
        <v>173</v>
      </c>
      <c r="F50" s="3" t="s">
        <v>142</v>
      </c>
      <c r="G50" s="4">
        <v>45858</v>
      </c>
      <c r="H50" s="3" t="s">
        <v>162</v>
      </c>
      <c r="I50" s="9">
        <f>_xlfn.IFS(AND(F50=Plans!$A$2,Base!H50=Plans!$B$1),Plans!$B$2,AND(F50=Plans!$A$2,Base!H50=Plans!$C$1),Plans!$C$2,AND(F50=Plans!$A$2,Base!H50=Plans!$D$1),Plans!$D$2,AND(F50=Plans!$A$3,Base!H50=Plans!$B$1),Plans!$B$3,AND(F50=Plans!$A$3,Base!H50=Plans!$C$1),Plans!$C$3,AND(F50=Plans!$A$3,Base!H50=Plans!$D$1),Plans!$D$3,AND(F50=Plans!$A$4,Base!H50=Plans!$B$1),Plans!$B$4,AND(F50=Plans!$A$4,Base!H50=Plans!$C$1),Plans!$C$4,AND(F50=Plans!$A$4,Base!H50=Plans!$D$1),Plans!$D$4,AND(F50=Plans!$A$5,Base!H50=Plans!$B$1),Plans!$B$5,AND(F50=Plans!$A$5,Base!H50=Plans!$C$1),Plans!$C$5,AND(F50=Plans!$A$5,Base!H50=Plans!$D$1),Plans!$D$5)</f>
        <v>39.9</v>
      </c>
      <c r="J50" s="3" t="s">
        <v>150</v>
      </c>
    </row>
    <row r="51" spans="1:10" x14ac:dyDescent="0.35">
      <c r="A51" s="2">
        <v>1373</v>
      </c>
      <c r="B51" s="3" t="s">
        <v>42</v>
      </c>
      <c r="C51" s="3" t="s">
        <v>164</v>
      </c>
      <c r="D51" s="3" t="s">
        <v>129</v>
      </c>
      <c r="E51" s="3" t="s">
        <v>171</v>
      </c>
      <c r="F51" s="3" t="s">
        <v>141</v>
      </c>
      <c r="G51" s="4">
        <v>45861</v>
      </c>
      <c r="H51" s="3" t="s">
        <v>178</v>
      </c>
      <c r="I51" s="9">
        <f>_xlfn.IFS(AND(F51=Plans!$A$2,Base!H51=Plans!$B$1),Plans!$B$2,AND(F51=Plans!$A$2,Base!H51=Plans!$C$1),Plans!$C$2,AND(F51=Plans!$A$2,Base!H51=Plans!$D$1),Plans!$D$2,AND(F51=Plans!$A$3,Base!H51=Plans!$B$1),Plans!$B$3,AND(F51=Plans!$A$3,Base!H51=Plans!$C$1),Plans!$C$3,AND(F51=Plans!$A$3,Base!H51=Plans!$D$1),Plans!$D$3,AND(F51=Plans!$A$4,Base!H51=Plans!$B$1),Plans!$B$4,AND(F51=Plans!$A$4,Base!H51=Plans!$C$1),Plans!$C$4,AND(F51=Plans!$A$4,Base!H51=Plans!$D$1),Plans!$D$4,AND(F51=Plans!$A$5,Base!H51=Plans!$B$1),Plans!$B$5,AND(F51=Plans!$A$5,Base!H51=Plans!$C$1),Plans!$C$5,AND(F51=Plans!$A$5,Base!H51=Plans!$D$1),Plans!$D$5)</f>
        <v>199.9</v>
      </c>
      <c r="J51" s="3" t="s">
        <v>163</v>
      </c>
    </row>
    <row r="52" spans="1:10" x14ac:dyDescent="0.35">
      <c r="A52" s="2">
        <v>1374</v>
      </c>
      <c r="B52" s="3" t="s">
        <v>43</v>
      </c>
      <c r="C52" s="3" t="s">
        <v>164</v>
      </c>
      <c r="D52" s="3" t="s">
        <v>133</v>
      </c>
      <c r="E52" s="3" t="s">
        <v>174</v>
      </c>
      <c r="F52" s="3" t="s">
        <v>142</v>
      </c>
      <c r="G52" s="4">
        <v>45864</v>
      </c>
      <c r="H52" s="3" t="s">
        <v>162</v>
      </c>
      <c r="I52" s="9">
        <f>_xlfn.IFS(AND(F52=Plans!$A$2,Base!H52=Plans!$B$1),Plans!$B$2,AND(F52=Plans!$A$2,Base!H52=Plans!$C$1),Plans!$C$2,AND(F52=Plans!$A$2,Base!H52=Plans!$D$1),Plans!$D$2,AND(F52=Plans!$A$3,Base!H52=Plans!$B$1),Plans!$B$3,AND(F52=Plans!$A$3,Base!H52=Plans!$C$1),Plans!$C$3,AND(F52=Plans!$A$3,Base!H52=Plans!$D$1),Plans!$D$3,AND(F52=Plans!$A$4,Base!H52=Plans!$B$1),Plans!$B$4,AND(F52=Plans!$A$4,Base!H52=Plans!$C$1),Plans!$C$4,AND(F52=Plans!$A$4,Base!H52=Plans!$D$1),Plans!$D$4,AND(F52=Plans!$A$5,Base!H52=Plans!$B$1),Plans!$B$5,AND(F52=Plans!$A$5,Base!H52=Plans!$C$1),Plans!$C$5,AND(F52=Plans!$A$5,Base!H52=Plans!$D$1),Plans!$D$5)</f>
        <v>39.9</v>
      </c>
      <c r="J52" s="3" t="s">
        <v>150</v>
      </c>
    </row>
    <row r="53" spans="1:10" x14ac:dyDescent="0.35">
      <c r="A53" s="2">
        <v>1375</v>
      </c>
      <c r="B53" s="3" t="s">
        <v>44</v>
      </c>
      <c r="C53" s="3" t="s">
        <v>165</v>
      </c>
      <c r="D53" s="3" t="s">
        <v>137</v>
      </c>
      <c r="E53" s="3" t="s">
        <v>170</v>
      </c>
      <c r="F53" s="3" t="s">
        <v>141</v>
      </c>
      <c r="G53" s="4">
        <v>45867</v>
      </c>
      <c r="H53" s="3" t="s">
        <v>178</v>
      </c>
      <c r="I53" s="9">
        <f>_xlfn.IFS(AND(F53=Plans!$A$2,Base!H53=Plans!$B$1),Plans!$B$2,AND(F53=Plans!$A$2,Base!H53=Plans!$C$1),Plans!$C$2,AND(F53=Plans!$A$2,Base!H53=Plans!$D$1),Plans!$D$2,AND(F53=Plans!$A$3,Base!H53=Plans!$B$1),Plans!$B$3,AND(F53=Plans!$A$3,Base!H53=Plans!$C$1),Plans!$C$3,AND(F53=Plans!$A$3,Base!H53=Plans!$D$1),Plans!$D$3,AND(F53=Plans!$A$4,Base!H53=Plans!$B$1),Plans!$B$4,AND(F53=Plans!$A$4,Base!H53=Plans!$C$1),Plans!$C$4,AND(F53=Plans!$A$4,Base!H53=Plans!$D$1),Plans!$D$4,AND(F53=Plans!$A$5,Base!H53=Plans!$B$1),Plans!$B$5,AND(F53=Plans!$A$5,Base!H53=Plans!$C$1),Plans!$C$5,AND(F53=Plans!$A$5,Base!H53=Plans!$D$1),Plans!$D$5)</f>
        <v>199.9</v>
      </c>
      <c r="J53" s="3" t="s">
        <v>152</v>
      </c>
    </row>
    <row r="54" spans="1:10" x14ac:dyDescent="0.35">
      <c r="A54" s="2">
        <v>1376</v>
      </c>
      <c r="B54" s="3" t="s">
        <v>45</v>
      </c>
      <c r="C54" s="3" t="s">
        <v>165</v>
      </c>
      <c r="D54" s="3" t="s">
        <v>133</v>
      </c>
      <c r="E54" s="3" t="s">
        <v>174</v>
      </c>
      <c r="F54" s="3" t="s">
        <v>141</v>
      </c>
      <c r="G54" s="4">
        <v>45870</v>
      </c>
      <c r="H54" s="3" t="s">
        <v>178</v>
      </c>
      <c r="I54" s="9">
        <f>_xlfn.IFS(AND(F54=Plans!$A$2,Base!H54=Plans!$B$1),Plans!$B$2,AND(F54=Plans!$A$2,Base!H54=Plans!$C$1),Plans!$C$2,AND(F54=Plans!$A$2,Base!H54=Plans!$D$1),Plans!$D$2,AND(F54=Plans!$A$3,Base!H54=Plans!$B$1),Plans!$B$3,AND(F54=Plans!$A$3,Base!H54=Plans!$C$1),Plans!$C$3,AND(F54=Plans!$A$3,Base!H54=Plans!$D$1),Plans!$D$3,AND(F54=Plans!$A$4,Base!H54=Plans!$B$1),Plans!$B$4,AND(F54=Plans!$A$4,Base!H54=Plans!$C$1),Plans!$C$4,AND(F54=Plans!$A$4,Base!H54=Plans!$D$1),Plans!$D$4,AND(F54=Plans!$A$5,Base!H54=Plans!$B$1),Plans!$B$5,AND(F54=Plans!$A$5,Base!H54=Plans!$C$1),Plans!$C$5,AND(F54=Plans!$A$5,Base!H54=Plans!$D$1),Plans!$D$5)</f>
        <v>199.9</v>
      </c>
      <c r="J54" s="3" t="s">
        <v>151</v>
      </c>
    </row>
    <row r="55" spans="1:10" x14ac:dyDescent="0.35">
      <c r="A55" s="2">
        <v>1377</v>
      </c>
      <c r="B55" s="3" t="s">
        <v>46</v>
      </c>
      <c r="C55" s="3" t="s">
        <v>165</v>
      </c>
      <c r="D55" s="3" t="s">
        <v>138</v>
      </c>
      <c r="E55" s="3" t="s">
        <v>171</v>
      </c>
      <c r="F55" s="3" t="s">
        <v>139</v>
      </c>
      <c r="G55" s="4">
        <v>45873</v>
      </c>
      <c r="H55" s="3" t="s">
        <v>162</v>
      </c>
      <c r="I55" s="9">
        <f>_xlfn.IFS(AND(F55=Plans!$A$2,Base!H55=Plans!$B$1),Plans!$B$2,AND(F55=Plans!$A$2,Base!H55=Plans!$C$1),Plans!$C$2,AND(F55=Plans!$A$2,Base!H55=Plans!$D$1),Plans!$D$2,AND(F55=Plans!$A$3,Base!H55=Plans!$B$1),Plans!$B$3,AND(F55=Plans!$A$3,Base!H55=Plans!$C$1),Plans!$C$3,AND(F55=Plans!$A$3,Base!H55=Plans!$D$1),Plans!$D$3,AND(F55=Plans!$A$4,Base!H55=Plans!$B$1),Plans!$B$4,AND(F55=Plans!$A$4,Base!H55=Plans!$C$1),Plans!$C$4,AND(F55=Plans!$A$4,Base!H55=Plans!$D$1),Plans!$D$4,AND(F55=Plans!$A$5,Base!H55=Plans!$B$1),Plans!$B$5,AND(F55=Plans!$A$5,Base!H55=Plans!$C$1),Plans!$C$5,AND(F55=Plans!$A$5,Base!H55=Plans!$D$1),Plans!$D$5)</f>
        <v>74.900000000000006</v>
      </c>
      <c r="J55" s="3" t="s">
        <v>150</v>
      </c>
    </row>
    <row r="56" spans="1:10" x14ac:dyDescent="0.35">
      <c r="A56" s="2">
        <v>1378</v>
      </c>
      <c r="B56" s="3" t="s">
        <v>47</v>
      </c>
      <c r="C56" s="3" t="s">
        <v>164</v>
      </c>
      <c r="D56" s="3" t="s">
        <v>129</v>
      </c>
      <c r="E56" s="3" t="s">
        <v>171</v>
      </c>
      <c r="F56" s="3" t="s">
        <v>141</v>
      </c>
      <c r="G56" s="4">
        <v>45876</v>
      </c>
      <c r="H56" s="3" t="s">
        <v>162</v>
      </c>
      <c r="I56" s="9">
        <f>_xlfn.IFS(AND(F56=Plans!$A$2,Base!H56=Plans!$B$1),Plans!$B$2,AND(F56=Plans!$A$2,Base!H56=Plans!$C$1),Plans!$C$2,AND(F56=Plans!$A$2,Base!H56=Plans!$D$1),Plans!$D$2,AND(F56=Plans!$A$3,Base!H56=Plans!$B$1),Plans!$B$3,AND(F56=Plans!$A$3,Base!H56=Plans!$C$1),Plans!$C$3,AND(F56=Plans!$A$3,Base!H56=Plans!$D$1),Plans!$D$3,AND(F56=Plans!$A$4,Base!H56=Plans!$B$1),Plans!$B$4,AND(F56=Plans!$A$4,Base!H56=Plans!$C$1),Plans!$C$4,AND(F56=Plans!$A$4,Base!H56=Plans!$D$1),Plans!$D$4,AND(F56=Plans!$A$5,Base!H56=Plans!$B$1),Plans!$B$5,AND(F56=Plans!$A$5,Base!H56=Plans!$C$1),Plans!$C$5,AND(F56=Plans!$A$5,Base!H56=Plans!$D$1),Plans!$D$5)</f>
        <v>24.9</v>
      </c>
      <c r="J56" s="3" t="s">
        <v>147</v>
      </c>
    </row>
    <row r="57" spans="1:10" x14ac:dyDescent="0.35">
      <c r="A57" s="2">
        <v>1379</v>
      </c>
      <c r="B57" s="3" t="s">
        <v>48</v>
      </c>
      <c r="C57" s="3" t="s">
        <v>166</v>
      </c>
      <c r="D57" s="3" t="s">
        <v>119</v>
      </c>
      <c r="E57" s="3" t="s">
        <v>170</v>
      </c>
      <c r="F57" s="3" t="s">
        <v>139</v>
      </c>
      <c r="G57" s="4">
        <v>45879</v>
      </c>
      <c r="H57" s="3" t="s">
        <v>178</v>
      </c>
      <c r="I57" s="9">
        <f>_xlfn.IFS(AND(F57=Plans!$A$2,Base!H57=Plans!$B$1),Plans!$B$2,AND(F57=Plans!$A$2,Base!H57=Plans!$C$1),Plans!$C$2,AND(F57=Plans!$A$2,Base!H57=Plans!$D$1),Plans!$D$2,AND(F57=Plans!$A$3,Base!H57=Plans!$B$1),Plans!$B$3,AND(F57=Plans!$A$3,Base!H57=Plans!$C$1),Plans!$C$3,AND(F57=Plans!$A$3,Base!H57=Plans!$D$1),Plans!$D$3,AND(F57=Plans!$A$4,Base!H57=Plans!$B$1),Plans!$B$4,AND(F57=Plans!$A$4,Base!H57=Plans!$C$1),Plans!$C$4,AND(F57=Plans!$A$4,Base!H57=Plans!$D$1),Plans!$D$4,AND(F57=Plans!$A$5,Base!H57=Plans!$B$1),Plans!$B$5,AND(F57=Plans!$A$5,Base!H57=Plans!$C$1),Plans!$C$5,AND(F57=Plans!$A$5,Base!H57=Plans!$D$1),Plans!$D$5)</f>
        <v>599.9</v>
      </c>
      <c r="J57" s="3" t="s">
        <v>148</v>
      </c>
    </row>
    <row r="58" spans="1:10" x14ac:dyDescent="0.35">
      <c r="A58" s="2">
        <v>1380</v>
      </c>
      <c r="B58" s="3" t="s">
        <v>49</v>
      </c>
      <c r="C58" s="3" t="s">
        <v>165</v>
      </c>
      <c r="D58" s="3" t="s">
        <v>128</v>
      </c>
      <c r="E58" s="3" t="s">
        <v>171</v>
      </c>
      <c r="F58" s="3" t="s">
        <v>141</v>
      </c>
      <c r="G58" s="4">
        <v>45882</v>
      </c>
      <c r="H58" s="3" t="s">
        <v>162</v>
      </c>
      <c r="I58" s="9">
        <f>_xlfn.IFS(AND(F58=Plans!$A$2,Base!H58=Plans!$B$1),Plans!$B$2,AND(F58=Plans!$A$2,Base!H58=Plans!$C$1),Plans!$C$2,AND(F58=Plans!$A$2,Base!H58=Plans!$D$1),Plans!$D$2,AND(F58=Plans!$A$3,Base!H58=Plans!$B$1),Plans!$B$3,AND(F58=Plans!$A$3,Base!H58=Plans!$C$1),Plans!$C$3,AND(F58=Plans!$A$3,Base!H58=Plans!$D$1),Plans!$D$3,AND(F58=Plans!$A$4,Base!H58=Plans!$B$1),Plans!$B$4,AND(F58=Plans!$A$4,Base!H58=Plans!$C$1),Plans!$C$4,AND(F58=Plans!$A$4,Base!H58=Plans!$D$1),Plans!$D$4,AND(F58=Plans!$A$5,Base!H58=Plans!$B$1),Plans!$B$5,AND(F58=Plans!$A$5,Base!H58=Plans!$C$1),Plans!$C$5,AND(F58=Plans!$A$5,Base!H58=Plans!$D$1),Plans!$D$5)</f>
        <v>24.9</v>
      </c>
      <c r="J58" s="3" t="s">
        <v>147</v>
      </c>
    </row>
    <row r="59" spans="1:10" x14ac:dyDescent="0.35">
      <c r="A59" s="2">
        <v>1381</v>
      </c>
      <c r="B59" s="3" t="s">
        <v>50</v>
      </c>
      <c r="C59" s="3" t="s">
        <v>165</v>
      </c>
      <c r="D59" s="3" t="s">
        <v>128</v>
      </c>
      <c r="E59" s="3" t="s">
        <v>171</v>
      </c>
      <c r="F59" s="3" t="s">
        <v>141</v>
      </c>
      <c r="G59" s="4">
        <v>45885</v>
      </c>
      <c r="H59" s="3" t="s">
        <v>178</v>
      </c>
      <c r="I59" s="9">
        <f>_xlfn.IFS(AND(F59=Plans!$A$2,Base!H59=Plans!$B$1),Plans!$B$2,AND(F59=Plans!$A$2,Base!H59=Plans!$C$1),Plans!$C$2,AND(F59=Plans!$A$2,Base!H59=Plans!$D$1),Plans!$D$2,AND(F59=Plans!$A$3,Base!H59=Plans!$B$1),Plans!$B$3,AND(F59=Plans!$A$3,Base!H59=Plans!$C$1),Plans!$C$3,AND(F59=Plans!$A$3,Base!H59=Plans!$D$1),Plans!$D$3,AND(F59=Plans!$A$4,Base!H59=Plans!$B$1),Plans!$B$4,AND(F59=Plans!$A$4,Base!H59=Plans!$C$1),Plans!$C$4,AND(F59=Plans!$A$4,Base!H59=Plans!$D$1),Plans!$D$4,AND(F59=Plans!$A$5,Base!H59=Plans!$B$1),Plans!$B$5,AND(F59=Plans!$A$5,Base!H59=Plans!$C$1),Plans!$C$5,AND(F59=Plans!$A$5,Base!H59=Plans!$D$1),Plans!$D$5)</f>
        <v>199.9</v>
      </c>
      <c r="J59" s="3" t="s">
        <v>150</v>
      </c>
    </row>
    <row r="60" spans="1:10" x14ac:dyDescent="0.35">
      <c r="A60" s="2">
        <v>1382</v>
      </c>
      <c r="B60" s="3" t="s">
        <v>51</v>
      </c>
      <c r="C60" s="3" t="s">
        <v>164</v>
      </c>
      <c r="D60" s="3" t="s">
        <v>129</v>
      </c>
      <c r="E60" s="3" t="s">
        <v>171</v>
      </c>
      <c r="F60" s="3" t="s">
        <v>142</v>
      </c>
      <c r="G60" s="4">
        <v>45889</v>
      </c>
      <c r="H60" s="3" t="s">
        <v>162</v>
      </c>
      <c r="I60" s="9">
        <f>_xlfn.IFS(AND(F60=Plans!$A$2,Base!H60=Plans!$B$1),Plans!$B$2,AND(F60=Plans!$A$2,Base!H60=Plans!$C$1),Plans!$C$2,AND(F60=Plans!$A$2,Base!H60=Plans!$D$1),Plans!$D$2,AND(F60=Plans!$A$3,Base!H60=Plans!$B$1),Plans!$B$3,AND(F60=Plans!$A$3,Base!H60=Plans!$C$1),Plans!$C$3,AND(F60=Plans!$A$3,Base!H60=Plans!$D$1),Plans!$D$3,AND(F60=Plans!$A$4,Base!H60=Plans!$B$1),Plans!$B$4,AND(F60=Plans!$A$4,Base!H60=Plans!$C$1),Plans!$C$4,AND(F60=Plans!$A$4,Base!H60=Plans!$D$1),Plans!$D$4,AND(F60=Plans!$A$5,Base!H60=Plans!$B$1),Plans!$B$5,AND(F60=Plans!$A$5,Base!H60=Plans!$C$1),Plans!$C$5,AND(F60=Plans!$A$5,Base!H60=Plans!$D$1),Plans!$D$5)</f>
        <v>39.9</v>
      </c>
      <c r="J60" s="3" t="s">
        <v>151</v>
      </c>
    </row>
    <row r="61" spans="1:10" x14ac:dyDescent="0.35">
      <c r="A61" s="2">
        <v>1383</v>
      </c>
      <c r="B61" s="3" t="s">
        <v>0</v>
      </c>
      <c r="C61" s="3" t="s">
        <v>164</v>
      </c>
      <c r="D61" s="3" t="s">
        <v>134</v>
      </c>
      <c r="E61" s="3" t="s">
        <v>171</v>
      </c>
      <c r="F61" s="3" t="s">
        <v>142</v>
      </c>
      <c r="G61" s="4">
        <v>45892</v>
      </c>
      <c r="H61" s="3" t="s">
        <v>178</v>
      </c>
      <c r="I61" s="9">
        <f>_xlfn.IFS(AND(F61=Plans!$A$2,Base!H61=Plans!$B$1),Plans!$B$2,AND(F61=Plans!$A$2,Base!H61=Plans!$C$1),Plans!$C$2,AND(F61=Plans!$A$2,Base!H61=Plans!$D$1),Plans!$D$2,AND(F61=Plans!$A$3,Base!H61=Plans!$B$1),Plans!$B$3,AND(F61=Plans!$A$3,Base!H61=Plans!$C$1),Plans!$C$3,AND(F61=Plans!$A$3,Base!H61=Plans!$D$1),Plans!$D$3,AND(F61=Plans!$A$4,Base!H61=Plans!$B$1),Plans!$B$4,AND(F61=Plans!$A$4,Base!H61=Plans!$C$1),Plans!$C$4,AND(F61=Plans!$A$4,Base!H61=Plans!$D$1),Plans!$D$4,AND(F61=Plans!$A$5,Base!H61=Plans!$B$1),Plans!$B$5,AND(F61=Plans!$A$5,Base!H61=Plans!$C$1),Plans!$C$5,AND(F61=Plans!$A$5,Base!H61=Plans!$D$1),Plans!$D$5)</f>
        <v>299.89999999999998</v>
      </c>
      <c r="J61" s="3" t="s">
        <v>152</v>
      </c>
    </row>
    <row r="62" spans="1:10" x14ac:dyDescent="0.35">
      <c r="A62" s="2">
        <v>1384</v>
      </c>
      <c r="B62" s="3" t="s">
        <v>52</v>
      </c>
      <c r="C62" s="3" t="s">
        <v>165</v>
      </c>
      <c r="D62" s="3" t="s">
        <v>135</v>
      </c>
      <c r="E62" s="3" t="s">
        <v>172</v>
      </c>
      <c r="F62" s="3" t="s">
        <v>140</v>
      </c>
      <c r="G62" s="4">
        <v>45895</v>
      </c>
      <c r="H62" s="3" t="s">
        <v>162</v>
      </c>
      <c r="I62" s="9">
        <f>_xlfn.IFS(AND(F62=Plans!$A$2,Base!H62=Plans!$B$1),Plans!$B$2,AND(F62=Plans!$A$2,Base!H62=Plans!$C$1),Plans!$C$2,AND(F62=Plans!$A$2,Base!H62=Plans!$D$1),Plans!$D$2,AND(F62=Plans!$A$3,Base!H62=Plans!$B$1),Plans!$B$3,AND(F62=Plans!$A$3,Base!H62=Plans!$C$1),Plans!$C$3,AND(F62=Plans!$A$3,Base!H62=Plans!$D$1),Plans!$D$3,AND(F62=Plans!$A$4,Base!H62=Plans!$B$1),Plans!$B$4,AND(F62=Plans!$A$4,Base!H62=Plans!$C$1),Plans!$C$4,AND(F62=Plans!$A$4,Base!H62=Plans!$D$1),Plans!$D$4,AND(F62=Plans!$A$5,Base!H62=Plans!$B$1),Plans!$B$5,AND(F62=Plans!$A$5,Base!H62=Plans!$C$1),Plans!$C$5,AND(F62=Plans!$A$5,Base!H62=Plans!$D$1),Plans!$D$5)</f>
        <v>54.9</v>
      </c>
      <c r="J62" s="3" t="s">
        <v>148</v>
      </c>
    </row>
    <row r="63" spans="1:10" x14ac:dyDescent="0.35">
      <c r="A63" s="2">
        <v>1385</v>
      </c>
      <c r="B63" s="3" t="s">
        <v>8</v>
      </c>
      <c r="C63" s="3" t="s">
        <v>165</v>
      </c>
      <c r="D63" s="3" t="s">
        <v>126</v>
      </c>
      <c r="E63" s="3" t="s">
        <v>172</v>
      </c>
      <c r="F63" s="3" t="s">
        <v>139</v>
      </c>
      <c r="G63" s="4">
        <v>45898</v>
      </c>
      <c r="H63" s="3" t="s">
        <v>162</v>
      </c>
      <c r="I63" s="9">
        <f>_xlfn.IFS(AND(F63=Plans!$A$2,Base!H63=Plans!$B$1),Plans!$B$2,AND(F63=Plans!$A$2,Base!H63=Plans!$C$1),Plans!$C$2,AND(F63=Plans!$A$2,Base!H63=Plans!$D$1),Plans!$D$2,AND(F63=Plans!$A$3,Base!H63=Plans!$B$1),Plans!$B$3,AND(F63=Plans!$A$3,Base!H63=Plans!$C$1),Plans!$C$3,AND(F63=Plans!$A$3,Base!H63=Plans!$D$1),Plans!$D$3,AND(F63=Plans!$A$4,Base!H63=Plans!$B$1),Plans!$B$4,AND(F63=Plans!$A$4,Base!H63=Plans!$C$1),Plans!$C$4,AND(F63=Plans!$A$4,Base!H63=Plans!$D$1),Plans!$D$4,AND(F63=Plans!$A$5,Base!H63=Plans!$B$1),Plans!$B$5,AND(F63=Plans!$A$5,Base!H63=Plans!$C$1),Plans!$C$5,AND(F63=Plans!$A$5,Base!H63=Plans!$D$1),Plans!$D$5)</f>
        <v>74.900000000000006</v>
      </c>
      <c r="J63" s="3" t="s">
        <v>143</v>
      </c>
    </row>
    <row r="64" spans="1:10" x14ac:dyDescent="0.35">
      <c r="A64" s="2">
        <v>1386</v>
      </c>
      <c r="B64" s="3" t="s">
        <v>8</v>
      </c>
      <c r="C64" s="3" t="s">
        <v>165</v>
      </c>
      <c r="D64" s="3" t="s">
        <v>138</v>
      </c>
      <c r="E64" s="3" t="s">
        <v>171</v>
      </c>
      <c r="F64" s="3" t="s">
        <v>140</v>
      </c>
      <c r="G64" s="4">
        <v>45901</v>
      </c>
      <c r="H64" s="3" t="s">
        <v>162</v>
      </c>
      <c r="I64" s="9">
        <f>_xlfn.IFS(AND(F64=Plans!$A$2,Base!H64=Plans!$B$1),Plans!$B$2,AND(F64=Plans!$A$2,Base!H64=Plans!$C$1),Plans!$C$2,AND(F64=Plans!$A$2,Base!H64=Plans!$D$1),Plans!$D$2,AND(F64=Plans!$A$3,Base!H64=Plans!$B$1),Plans!$B$3,AND(F64=Plans!$A$3,Base!H64=Plans!$C$1),Plans!$C$3,AND(F64=Plans!$A$3,Base!H64=Plans!$D$1),Plans!$D$3,AND(F64=Plans!$A$4,Base!H64=Plans!$B$1),Plans!$B$4,AND(F64=Plans!$A$4,Base!H64=Plans!$C$1),Plans!$C$4,AND(F64=Plans!$A$4,Base!H64=Plans!$D$1),Plans!$D$4,AND(F64=Plans!$A$5,Base!H64=Plans!$B$1),Plans!$B$5,AND(F64=Plans!$A$5,Base!H64=Plans!$C$1),Plans!$C$5,AND(F64=Plans!$A$5,Base!H64=Plans!$D$1),Plans!$D$5)</f>
        <v>54.9</v>
      </c>
      <c r="J64" s="3" t="s">
        <v>148</v>
      </c>
    </row>
    <row r="65" spans="1:10" x14ac:dyDescent="0.35">
      <c r="A65" s="2">
        <v>1387</v>
      </c>
      <c r="B65" s="3" t="s">
        <v>20</v>
      </c>
      <c r="C65" s="3" t="s">
        <v>165</v>
      </c>
      <c r="D65" s="3" t="s">
        <v>137</v>
      </c>
      <c r="E65" s="3" t="s">
        <v>170</v>
      </c>
      <c r="F65" s="3" t="s">
        <v>140</v>
      </c>
      <c r="G65" s="4">
        <v>45904</v>
      </c>
      <c r="H65" s="3" t="s">
        <v>178</v>
      </c>
      <c r="I65" s="9">
        <f>_xlfn.IFS(AND(F65=Plans!$A$2,Base!H65=Plans!$B$1),Plans!$B$2,AND(F65=Plans!$A$2,Base!H65=Plans!$C$1),Plans!$C$2,AND(F65=Plans!$A$2,Base!H65=Plans!$D$1),Plans!$D$2,AND(F65=Plans!$A$3,Base!H65=Plans!$B$1),Plans!$B$3,AND(F65=Plans!$A$3,Base!H65=Plans!$C$1),Plans!$C$3,AND(F65=Plans!$A$3,Base!H65=Plans!$D$1),Plans!$D$3,AND(F65=Plans!$A$4,Base!H65=Plans!$B$1),Plans!$B$4,AND(F65=Plans!$A$4,Base!H65=Plans!$C$1),Plans!$C$4,AND(F65=Plans!$A$4,Base!H65=Plans!$D$1),Plans!$D$4,AND(F65=Plans!$A$5,Base!H65=Plans!$B$1),Plans!$B$5,AND(F65=Plans!$A$5,Base!H65=Plans!$C$1),Plans!$C$5,AND(F65=Plans!$A$5,Base!H65=Plans!$D$1),Plans!$D$5)</f>
        <v>449.9</v>
      </c>
      <c r="J65" s="3" t="s">
        <v>149</v>
      </c>
    </row>
    <row r="66" spans="1:10" x14ac:dyDescent="0.35">
      <c r="A66" s="2">
        <v>1388</v>
      </c>
      <c r="B66" s="3" t="s">
        <v>20</v>
      </c>
      <c r="C66" s="3" t="s">
        <v>165</v>
      </c>
      <c r="D66" s="3" t="s">
        <v>120</v>
      </c>
      <c r="E66" s="3" t="s">
        <v>171</v>
      </c>
      <c r="F66" s="3" t="s">
        <v>140</v>
      </c>
      <c r="G66" s="4">
        <v>45907</v>
      </c>
      <c r="H66" s="3" t="s">
        <v>178</v>
      </c>
      <c r="I66" s="9">
        <f>_xlfn.IFS(AND(F66=Plans!$A$2,Base!H66=Plans!$B$1),Plans!$B$2,AND(F66=Plans!$A$2,Base!H66=Plans!$C$1),Plans!$C$2,AND(F66=Plans!$A$2,Base!H66=Plans!$D$1),Plans!$D$2,AND(F66=Plans!$A$3,Base!H66=Plans!$B$1),Plans!$B$3,AND(F66=Plans!$A$3,Base!H66=Plans!$C$1),Plans!$C$3,AND(F66=Plans!$A$3,Base!H66=Plans!$D$1),Plans!$D$3,AND(F66=Plans!$A$4,Base!H66=Plans!$B$1),Plans!$B$4,AND(F66=Plans!$A$4,Base!H66=Plans!$C$1),Plans!$C$4,AND(F66=Plans!$A$4,Base!H66=Plans!$D$1),Plans!$D$4,AND(F66=Plans!$A$5,Base!H66=Plans!$B$1),Plans!$B$5,AND(F66=Plans!$A$5,Base!H66=Plans!$C$1),Plans!$C$5,AND(F66=Plans!$A$5,Base!H66=Plans!$D$1),Plans!$D$5)</f>
        <v>449.9</v>
      </c>
      <c r="J66" s="3" t="s">
        <v>151</v>
      </c>
    </row>
    <row r="67" spans="1:10" x14ac:dyDescent="0.35">
      <c r="A67" s="2">
        <v>1389</v>
      </c>
      <c r="B67" s="3" t="s">
        <v>53</v>
      </c>
      <c r="C67" s="3" t="s">
        <v>166</v>
      </c>
      <c r="D67" s="3" t="s">
        <v>120</v>
      </c>
      <c r="E67" s="3" t="s">
        <v>171</v>
      </c>
      <c r="F67" s="3" t="s">
        <v>139</v>
      </c>
      <c r="G67" s="4">
        <v>45910</v>
      </c>
      <c r="H67" s="3" t="s">
        <v>161</v>
      </c>
      <c r="I67" s="9">
        <f>_xlfn.IFS(AND(F67=Plans!$A$2,Base!H67=Plans!$B$1),Plans!$B$2,AND(F67=Plans!$A$2,Base!H67=Plans!$C$1),Plans!$C$2,AND(F67=Plans!$A$2,Base!H67=Plans!$D$1),Plans!$D$2,AND(F67=Plans!$A$3,Base!H67=Plans!$B$1),Plans!$B$3,AND(F67=Plans!$A$3,Base!H67=Plans!$C$1),Plans!$C$3,AND(F67=Plans!$A$3,Base!H67=Plans!$D$1),Plans!$D$3,AND(F67=Plans!$A$4,Base!H67=Plans!$B$1),Plans!$B$4,AND(F67=Plans!$A$4,Base!H67=Plans!$C$1),Plans!$C$4,AND(F67=Plans!$A$4,Base!H67=Plans!$D$1),Plans!$D$4,AND(F67=Plans!$A$5,Base!H67=Plans!$B$1),Plans!$B$5,AND(F67=Plans!$A$5,Base!H67=Plans!$C$1),Plans!$C$5,AND(F67=Plans!$A$5,Base!H67=Plans!$D$1),Plans!$D$5)</f>
        <v>489.9</v>
      </c>
      <c r="J67" s="3" t="s">
        <v>149</v>
      </c>
    </row>
    <row r="68" spans="1:10" x14ac:dyDescent="0.35">
      <c r="A68" s="2">
        <v>1390</v>
      </c>
      <c r="B68" s="3" t="s">
        <v>54</v>
      </c>
      <c r="C68" s="3" t="s">
        <v>166</v>
      </c>
      <c r="D68" s="3" t="s">
        <v>122</v>
      </c>
      <c r="E68" s="3" t="s">
        <v>170</v>
      </c>
      <c r="F68" s="3" t="s">
        <v>139</v>
      </c>
      <c r="G68" s="4">
        <v>45913</v>
      </c>
      <c r="H68" s="3" t="s">
        <v>162</v>
      </c>
      <c r="I68" s="9">
        <f>_xlfn.IFS(AND(F68=Plans!$A$2,Base!H68=Plans!$B$1),Plans!$B$2,AND(F68=Plans!$A$2,Base!H68=Plans!$C$1),Plans!$C$2,AND(F68=Plans!$A$2,Base!H68=Plans!$D$1),Plans!$D$2,AND(F68=Plans!$A$3,Base!H68=Plans!$B$1),Plans!$B$3,AND(F68=Plans!$A$3,Base!H68=Plans!$C$1),Plans!$C$3,AND(F68=Plans!$A$3,Base!H68=Plans!$D$1),Plans!$D$3,AND(F68=Plans!$A$4,Base!H68=Plans!$B$1),Plans!$B$4,AND(F68=Plans!$A$4,Base!H68=Plans!$C$1),Plans!$C$4,AND(F68=Plans!$A$4,Base!H68=Plans!$D$1),Plans!$D$4,AND(F68=Plans!$A$5,Base!H68=Plans!$B$1),Plans!$B$5,AND(F68=Plans!$A$5,Base!H68=Plans!$C$1),Plans!$C$5,AND(F68=Plans!$A$5,Base!H68=Plans!$D$1),Plans!$D$5)</f>
        <v>74.900000000000006</v>
      </c>
      <c r="J68" s="3" t="s">
        <v>145</v>
      </c>
    </row>
    <row r="69" spans="1:10" x14ac:dyDescent="0.35">
      <c r="A69" s="2">
        <v>1391</v>
      </c>
      <c r="B69" s="3" t="s">
        <v>55</v>
      </c>
      <c r="C69" s="3" t="s">
        <v>165</v>
      </c>
      <c r="D69" s="3" t="s">
        <v>135</v>
      </c>
      <c r="E69" s="3" t="s">
        <v>172</v>
      </c>
      <c r="F69" s="3" t="s">
        <v>142</v>
      </c>
      <c r="G69" s="4">
        <v>45916</v>
      </c>
      <c r="H69" s="3" t="s">
        <v>162</v>
      </c>
      <c r="I69" s="9">
        <f>_xlfn.IFS(AND(F69=Plans!$A$2,Base!H69=Plans!$B$1),Plans!$B$2,AND(F69=Plans!$A$2,Base!H69=Plans!$C$1),Plans!$C$2,AND(F69=Plans!$A$2,Base!H69=Plans!$D$1),Plans!$D$2,AND(F69=Plans!$A$3,Base!H69=Plans!$B$1),Plans!$B$3,AND(F69=Plans!$A$3,Base!H69=Plans!$C$1),Plans!$C$3,AND(F69=Plans!$A$3,Base!H69=Plans!$D$1),Plans!$D$3,AND(F69=Plans!$A$4,Base!H69=Plans!$B$1),Plans!$B$4,AND(F69=Plans!$A$4,Base!H69=Plans!$C$1),Plans!$C$4,AND(F69=Plans!$A$4,Base!H69=Plans!$D$1),Plans!$D$4,AND(F69=Plans!$A$5,Base!H69=Plans!$B$1),Plans!$B$5,AND(F69=Plans!$A$5,Base!H69=Plans!$C$1),Plans!$C$5,AND(F69=Plans!$A$5,Base!H69=Plans!$D$1),Plans!$D$5)</f>
        <v>39.9</v>
      </c>
      <c r="J69" s="3" t="s">
        <v>143</v>
      </c>
    </row>
    <row r="70" spans="1:10" x14ac:dyDescent="0.35">
      <c r="A70" s="2">
        <v>1392</v>
      </c>
      <c r="B70" s="3" t="s">
        <v>56</v>
      </c>
      <c r="C70" s="3" t="s">
        <v>165</v>
      </c>
      <c r="D70" s="3" t="s">
        <v>133</v>
      </c>
      <c r="E70" s="3" t="s">
        <v>174</v>
      </c>
      <c r="F70" s="3" t="s">
        <v>141</v>
      </c>
      <c r="G70" s="4">
        <v>45919</v>
      </c>
      <c r="H70" s="3" t="s">
        <v>178</v>
      </c>
      <c r="I70" s="9">
        <f>_xlfn.IFS(AND(F70=Plans!$A$2,Base!H70=Plans!$B$1),Plans!$B$2,AND(F70=Plans!$A$2,Base!H70=Plans!$C$1),Plans!$C$2,AND(F70=Plans!$A$2,Base!H70=Plans!$D$1),Plans!$D$2,AND(F70=Plans!$A$3,Base!H70=Plans!$B$1),Plans!$B$3,AND(F70=Plans!$A$3,Base!H70=Plans!$C$1),Plans!$C$3,AND(F70=Plans!$A$3,Base!H70=Plans!$D$1),Plans!$D$3,AND(F70=Plans!$A$4,Base!H70=Plans!$B$1),Plans!$B$4,AND(F70=Plans!$A$4,Base!H70=Plans!$C$1),Plans!$C$4,AND(F70=Plans!$A$4,Base!H70=Plans!$D$1),Plans!$D$4,AND(F70=Plans!$A$5,Base!H70=Plans!$B$1),Plans!$B$5,AND(F70=Plans!$A$5,Base!H70=Plans!$C$1),Plans!$C$5,AND(F70=Plans!$A$5,Base!H70=Plans!$D$1),Plans!$D$5)</f>
        <v>199.9</v>
      </c>
      <c r="J70" s="3" t="s">
        <v>143</v>
      </c>
    </row>
    <row r="71" spans="1:10" x14ac:dyDescent="0.35">
      <c r="A71" s="2">
        <v>1393</v>
      </c>
      <c r="B71" s="3" t="s">
        <v>57</v>
      </c>
      <c r="C71" s="3" t="s">
        <v>164</v>
      </c>
      <c r="D71" s="3" t="s">
        <v>123</v>
      </c>
      <c r="E71" s="3" t="s">
        <v>171</v>
      </c>
      <c r="F71" s="3" t="s">
        <v>142</v>
      </c>
      <c r="G71" s="4">
        <v>45922</v>
      </c>
      <c r="H71" s="3" t="s">
        <v>162</v>
      </c>
      <c r="I71" s="9">
        <f>_xlfn.IFS(AND(F71=Plans!$A$2,Base!H71=Plans!$B$1),Plans!$B$2,AND(F71=Plans!$A$2,Base!H71=Plans!$C$1),Plans!$C$2,AND(F71=Plans!$A$2,Base!H71=Plans!$D$1),Plans!$D$2,AND(F71=Plans!$A$3,Base!H71=Plans!$B$1),Plans!$B$3,AND(F71=Plans!$A$3,Base!H71=Plans!$C$1),Plans!$C$3,AND(F71=Plans!$A$3,Base!H71=Plans!$D$1),Plans!$D$3,AND(F71=Plans!$A$4,Base!H71=Plans!$B$1),Plans!$B$4,AND(F71=Plans!$A$4,Base!H71=Plans!$C$1),Plans!$C$4,AND(F71=Plans!$A$4,Base!H71=Plans!$D$1),Plans!$D$4,AND(F71=Plans!$A$5,Base!H71=Plans!$B$1),Plans!$B$5,AND(F71=Plans!$A$5,Base!H71=Plans!$C$1),Plans!$C$5,AND(F71=Plans!$A$5,Base!H71=Plans!$D$1),Plans!$D$5)</f>
        <v>39.9</v>
      </c>
      <c r="J71" s="3" t="s">
        <v>144</v>
      </c>
    </row>
    <row r="72" spans="1:10" x14ac:dyDescent="0.35">
      <c r="A72" s="2">
        <v>1394</v>
      </c>
      <c r="B72" s="3" t="s">
        <v>32</v>
      </c>
      <c r="C72" s="3" t="s">
        <v>164</v>
      </c>
      <c r="D72" s="3" t="s">
        <v>121</v>
      </c>
      <c r="E72" s="3" t="s">
        <v>172</v>
      </c>
      <c r="F72" s="3" t="s">
        <v>141</v>
      </c>
      <c r="G72" s="4">
        <v>45925</v>
      </c>
      <c r="H72" s="3" t="s">
        <v>162</v>
      </c>
      <c r="I72" s="9">
        <f>_xlfn.IFS(AND(F72=Plans!$A$2,Base!H72=Plans!$B$1),Plans!$B$2,AND(F72=Plans!$A$2,Base!H72=Plans!$C$1),Plans!$C$2,AND(F72=Plans!$A$2,Base!H72=Plans!$D$1),Plans!$D$2,AND(F72=Plans!$A$3,Base!H72=Plans!$B$1),Plans!$B$3,AND(F72=Plans!$A$3,Base!H72=Plans!$C$1),Plans!$C$3,AND(F72=Plans!$A$3,Base!H72=Plans!$D$1),Plans!$D$3,AND(F72=Plans!$A$4,Base!H72=Plans!$B$1),Plans!$B$4,AND(F72=Plans!$A$4,Base!H72=Plans!$C$1),Plans!$C$4,AND(F72=Plans!$A$4,Base!H72=Plans!$D$1),Plans!$D$4,AND(F72=Plans!$A$5,Base!H72=Plans!$B$1),Plans!$B$5,AND(F72=Plans!$A$5,Base!H72=Plans!$C$1),Plans!$C$5,AND(F72=Plans!$A$5,Base!H72=Plans!$D$1),Plans!$D$5)</f>
        <v>24.9</v>
      </c>
      <c r="J72" s="3" t="s">
        <v>143</v>
      </c>
    </row>
    <row r="73" spans="1:10" x14ac:dyDescent="0.35">
      <c r="A73" s="2">
        <v>1395</v>
      </c>
      <c r="B73" s="3" t="s">
        <v>58</v>
      </c>
      <c r="C73" s="3" t="s">
        <v>164</v>
      </c>
      <c r="D73" s="3" t="s">
        <v>131</v>
      </c>
      <c r="E73" s="3" t="s">
        <v>172</v>
      </c>
      <c r="F73" s="3" t="s">
        <v>139</v>
      </c>
      <c r="G73" s="4">
        <v>45928</v>
      </c>
      <c r="H73" s="3" t="s">
        <v>178</v>
      </c>
      <c r="I73" s="9">
        <f>_xlfn.IFS(AND(F73=Plans!$A$2,Base!H73=Plans!$B$1),Plans!$B$2,AND(F73=Plans!$A$2,Base!H73=Plans!$C$1),Plans!$C$2,AND(F73=Plans!$A$2,Base!H73=Plans!$D$1),Plans!$D$2,AND(F73=Plans!$A$3,Base!H73=Plans!$B$1),Plans!$B$3,AND(F73=Plans!$A$3,Base!H73=Plans!$C$1),Plans!$C$3,AND(F73=Plans!$A$3,Base!H73=Plans!$D$1),Plans!$D$3,AND(F73=Plans!$A$4,Base!H73=Plans!$B$1),Plans!$B$4,AND(F73=Plans!$A$4,Base!H73=Plans!$C$1),Plans!$C$4,AND(F73=Plans!$A$4,Base!H73=Plans!$D$1),Plans!$D$4,AND(F73=Plans!$A$5,Base!H73=Plans!$B$1),Plans!$B$5,AND(F73=Plans!$A$5,Base!H73=Plans!$C$1),Plans!$C$5,AND(F73=Plans!$A$5,Base!H73=Plans!$D$1),Plans!$D$5)</f>
        <v>599.9</v>
      </c>
      <c r="J73" s="3" t="s">
        <v>143</v>
      </c>
    </row>
    <row r="74" spans="1:10" x14ac:dyDescent="0.35">
      <c r="A74" s="2">
        <v>1396</v>
      </c>
      <c r="B74" s="3" t="s">
        <v>59</v>
      </c>
      <c r="C74" s="3" t="s">
        <v>165</v>
      </c>
      <c r="D74" s="3" t="s">
        <v>124</v>
      </c>
      <c r="E74" s="3" t="s">
        <v>170</v>
      </c>
      <c r="F74" s="3" t="s">
        <v>139</v>
      </c>
      <c r="G74" s="4">
        <v>45931</v>
      </c>
      <c r="H74" s="3" t="s">
        <v>178</v>
      </c>
      <c r="I74" s="9">
        <f>_xlfn.IFS(AND(F74=Plans!$A$2,Base!H74=Plans!$B$1),Plans!$B$2,AND(F74=Plans!$A$2,Base!H74=Plans!$C$1),Plans!$C$2,AND(F74=Plans!$A$2,Base!H74=Plans!$D$1),Plans!$D$2,AND(F74=Plans!$A$3,Base!H74=Plans!$B$1),Plans!$B$3,AND(F74=Plans!$A$3,Base!H74=Plans!$C$1),Plans!$C$3,AND(F74=Plans!$A$3,Base!H74=Plans!$D$1),Plans!$D$3,AND(F74=Plans!$A$4,Base!H74=Plans!$B$1),Plans!$B$4,AND(F74=Plans!$A$4,Base!H74=Plans!$C$1),Plans!$C$4,AND(F74=Plans!$A$4,Base!H74=Plans!$D$1),Plans!$D$4,AND(F74=Plans!$A$5,Base!H74=Plans!$B$1),Plans!$B$5,AND(F74=Plans!$A$5,Base!H74=Plans!$C$1),Plans!$C$5,AND(F74=Plans!$A$5,Base!H74=Plans!$D$1),Plans!$D$5)</f>
        <v>599.9</v>
      </c>
      <c r="J74" s="3" t="s">
        <v>145</v>
      </c>
    </row>
    <row r="75" spans="1:10" x14ac:dyDescent="0.35">
      <c r="A75" s="2">
        <v>1397</v>
      </c>
      <c r="B75" s="3" t="s">
        <v>17</v>
      </c>
      <c r="C75" s="3" t="s">
        <v>165</v>
      </c>
      <c r="D75" s="3" t="s">
        <v>137</v>
      </c>
      <c r="E75" s="3" t="s">
        <v>170</v>
      </c>
      <c r="F75" s="3" t="s">
        <v>140</v>
      </c>
      <c r="G75" s="4">
        <v>45934</v>
      </c>
      <c r="H75" s="3" t="s">
        <v>178</v>
      </c>
      <c r="I75" s="9">
        <f>_xlfn.IFS(AND(F75=Plans!$A$2,Base!H75=Plans!$B$1),Plans!$B$2,AND(F75=Plans!$A$2,Base!H75=Plans!$C$1),Plans!$C$2,AND(F75=Plans!$A$2,Base!H75=Plans!$D$1),Plans!$D$2,AND(F75=Plans!$A$3,Base!H75=Plans!$B$1),Plans!$B$3,AND(F75=Plans!$A$3,Base!H75=Plans!$C$1),Plans!$C$3,AND(F75=Plans!$A$3,Base!H75=Plans!$D$1),Plans!$D$3,AND(F75=Plans!$A$4,Base!H75=Plans!$B$1),Plans!$B$4,AND(F75=Plans!$A$4,Base!H75=Plans!$C$1),Plans!$C$4,AND(F75=Plans!$A$4,Base!H75=Plans!$D$1),Plans!$D$4,AND(F75=Plans!$A$5,Base!H75=Plans!$B$1),Plans!$B$5,AND(F75=Plans!$A$5,Base!H75=Plans!$C$1),Plans!$C$5,AND(F75=Plans!$A$5,Base!H75=Plans!$D$1),Plans!$D$5)</f>
        <v>449.9</v>
      </c>
      <c r="J75" s="3" t="s">
        <v>149</v>
      </c>
    </row>
    <row r="76" spans="1:10" x14ac:dyDescent="0.35">
      <c r="A76" s="2">
        <v>1398</v>
      </c>
      <c r="B76" s="3" t="s">
        <v>56</v>
      </c>
      <c r="C76" s="3" t="s">
        <v>165</v>
      </c>
      <c r="D76" s="3" t="s">
        <v>126</v>
      </c>
      <c r="E76" s="3" t="s">
        <v>172</v>
      </c>
      <c r="F76" s="3" t="s">
        <v>141</v>
      </c>
      <c r="G76" s="4">
        <v>45937</v>
      </c>
      <c r="H76" s="3" t="s">
        <v>178</v>
      </c>
      <c r="I76" s="9">
        <f>_xlfn.IFS(AND(F76=Plans!$A$2,Base!H76=Plans!$B$1),Plans!$B$2,AND(F76=Plans!$A$2,Base!H76=Plans!$C$1),Plans!$C$2,AND(F76=Plans!$A$2,Base!H76=Plans!$D$1),Plans!$D$2,AND(F76=Plans!$A$3,Base!H76=Plans!$B$1),Plans!$B$3,AND(F76=Plans!$A$3,Base!H76=Plans!$C$1),Plans!$C$3,AND(F76=Plans!$A$3,Base!H76=Plans!$D$1),Plans!$D$3,AND(F76=Plans!$A$4,Base!H76=Plans!$B$1),Plans!$B$4,AND(F76=Plans!$A$4,Base!H76=Plans!$C$1),Plans!$C$4,AND(F76=Plans!$A$4,Base!H76=Plans!$D$1),Plans!$D$4,AND(F76=Plans!$A$5,Base!H76=Plans!$B$1),Plans!$B$5,AND(F76=Plans!$A$5,Base!H76=Plans!$C$1),Plans!$C$5,AND(F76=Plans!$A$5,Base!H76=Plans!$D$1),Plans!$D$5)</f>
        <v>199.9</v>
      </c>
      <c r="J76" s="3" t="s">
        <v>144</v>
      </c>
    </row>
    <row r="77" spans="1:10" x14ac:dyDescent="0.35">
      <c r="A77" s="2">
        <v>1399</v>
      </c>
      <c r="B77" s="3" t="s">
        <v>58</v>
      </c>
      <c r="C77" s="3" t="s">
        <v>164</v>
      </c>
      <c r="D77" s="3" t="s">
        <v>134</v>
      </c>
      <c r="E77" s="3" t="s">
        <v>171</v>
      </c>
      <c r="F77" s="3" t="s">
        <v>142</v>
      </c>
      <c r="G77" s="4">
        <v>45940</v>
      </c>
      <c r="H77" s="3" t="s">
        <v>178</v>
      </c>
      <c r="I77" s="9">
        <f>_xlfn.IFS(AND(F77=Plans!$A$2,Base!H77=Plans!$B$1),Plans!$B$2,AND(F77=Plans!$A$2,Base!H77=Plans!$C$1),Plans!$C$2,AND(F77=Plans!$A$2,Base!H77=Plans!$D$1),Plans!$D$2,AND(F77=Plans!$A$3,Base!H77=Plans!$B$1),Plans!$B$3,AND(F77=Plans!$A$3,Base!H77=Plans!$C$1),Plans!$C$3,AND(F77=Plans!$A$3,Base!H77=Plans!$D$1),Plans!$D$3,AND(F77=Plans!$A$4,Base!H77=Plans!$B$1),Plans!$B$4,AND(F77=Plans!$A$4,Base!H77=Plans!$C$1),Plans!$C$4,AND(F77=Plans!$A$4,Base!H77=Plans!$D$1),Plans!$D$4,AND(F77=Plans!$A$5,Base!H77=Plans!$B$1),Plans!$B$5,AND(F77=Plans!$A$5,Base!H77=Plans!$C$1),Plans!$C$5,AND(F77=Plans!$A$5,Base!H77=Plans!$D$1),Plans!$D$5)</f>
        <v>299.89999999999998</v>
      </c>
      <c r="J77" s="3" t="s">
        <v>143</v>
      </c>
    </row>
    <row r="78" spans="1:10" x14ac:dyDescent="0.35">
      <c r="A78" s="2">
        <v>1400</v>
      </c>
      <c r="B78" s="3" t="s">
        <v>60</v>
      </c>
      <c r="C78" s="3" t="s">
        <v>165</v>
      </c>
      <c r="D78" s="3" t="s">
        <v>119</v>
      </c>
      <c r="E78" s="3" t="s">
        <v>170</v>
      </c>
      <c r="F78" s="3" t="s">
        <v>141</v>
      </c>
      <c r="G78" s="4">
        <v>45943</v>
      </c>
      <c r="H78" s="3" t="s">
        <v>178</v>
      </c>
      <c r="I78" s="9">
        <f>_xlfn.IFS(AND(F78=Plans!$A$2,Base!H78=Plans!$B$1),Plans!$B$2,AND(F78=Plans!$A$2,Base!H78=Plans!$C$1),Plans!$C$2,AND(F78=Plans!$A$2,Base!H78=Plans!$D$1),Plans!$D$2,AND(F78=Plans!$A$3,Base!H78=Plans!$B$1),Plans!$B$3,AND(F78=Plans!$A$3,Base!H78=Plans!$C$1),Plans!$C$3,AND(F78=Plans!$A$3,Base!H78=Plans!$D$1),Plans!$D$3,AND(F78=Plans!$A$4,Base!H78=Plans!$B$1),Plans!$B$4,AND(F78=Plans!$A$4,Base!H78=Plans!$C$1),Plans!$C$4,AND(F78=Plans!$A$4,Base!H78=Plans!$D$1),Plans!$D$4,AND(F78=Plans!$A$5,Base!H78=Plans!$B$1),Plans!$B$5,AND(F78=Plans!$A$5,Base!H78=Plans!$C$1),Plans!$C$5,AND(F78=Plans!$A$5,Base!H78=Plans!$D$1),Plans!$D$5)</f>
        <v>199.9</v>
      </c>
      <c r="J78" s="3" t="s">
        <v>151</v>
      </c>
    </row>
    <row r="79" spans="1:10" x14ac:dyDescent="0.35">
      <c r="A79" s="2">
        <v>1401</v>
      </c>
      <c r="B79" s="3" t="s">
        <v>61</v>
      </c>
      <c r="C79" s="3" t="s">
        <v>164</v>
      </c>
      <c r="D79" s="3" t="s">
        <v>125</v>
      </c>
      <c r="E79" s="3" t="s">
        <v>173</v>
      </c>
      <c r="F79" s="3" t="s">
        <v>140</v>
      </c>
      <c r="G79" s="4">
        <v>45946</v>
      </c>
      <c r="H79" s="3" t="s">
        <v>161</v>
      </c>
      <c r="I79" s="9">
        <f>_xlfn.IFS(AND(F79=Plans!$A$2,Base!H79=Plans!$B$1),Plans!$B$2,AND(F79=Plans!$A$2,Base!H79=Plans!$C$1),Plans!$C$2,AND(F79=Plans!$A$2,Base!H79=Plans!$D$1),Plans!$D$2,AND(F79=Plans!$A$3,Base!H79=Plans!$B$1),Plans!$B$3,AND(F79=Plans!$A$3,Base!H79=Plans!$C$1),Plans!$C$3,AND(F79=Plans!$A$3,Base!H79=Plans!$D$1),Plans!$D$3,AND(F79=Plans!$A$4,Base!H79=Plans!$B$1),Plans!$B$4,AND(F79=Plans!$A$4,Base!H79=Plans!$C$1),Plans!$C$4,AND(F79=Plans!$A$4,Base!H79=Plans!$D$1),Plans!$D$4,AND(F79=Plans!$A$5,Base!H79=Plans!$B$1),Plans!$B$5,AND(F79=Plans!$A$5,Base!H79=Plans!$C$1),Plans!$C$5,AND(F79=Plans!$A$5,Base!H79=Plans!$D$1),Plans!$D$5)</f>
        <v>349.9</v>
      </c>
      <c r="J79" s="3" t="s">
        <v>148</v>
      </c>
    </row>
    <row r="80" spans="1:10" x14ac:dyDescent="0.35">
      <c r="A80" s="2">
        <v>1402</v>
      </c>
      <c r="B80" s="3" t="s">
        <v>62</v>
      </c>
      <c r="C80" s="3" t="s">
        <v>165</v>
      </c>
      <c r="D80" s="3" t="s">
        <v>127</v>
      </c>
      <c r="E80" s="3" t="s">
        <v>171</v>
      </c>
      <c r="F80" s="3" t="s">
        <v>142</v>
      </c>
      <c r="G80" s="4">
        <v>45949</v>
      </c>
      <c r="H80" s="3" t="s">
        <v>178</v>
      </c>
      <c r="I80" s="9">
        <f>_xlfn.IFS(AND(F80=Plans!$A$2,Base!H80=Plans!$B$1),Plans!$B$2,AND(F80=Plans!$A$2,Base!H80=Plans!$C$1),Plans!$C$2,AND(F80=Plans!$A$2,Base!H80=Plans!$D$1),Plans!$D$2,AND(F80=Plans!$A$3,Base!H80=Plans!$B$1),Plans!$B$3,AND(F80=Plans!$A$3,Base!H80=Plans!$C$1),Plans!$C$3,AND(F80=Plans!$A$3,Base!H80=Plans!$D$1),Plans!$D$3,AND(F80=Plans!$A$4,Base!H80=Plans!$B$1),Plans!$B$4,AND(F80=Plans!$A$4,Base!H80=Plans!$C$1),Plans!$C$4,AND(F80=Plans!$A$4,Base!H80=Plans!$D$1),Plans!$D$4,AND(F80=Plans!$A$5,Base!H80=Plans!$B$1),Plans!$B$5,AND(F80=Plans!$A$5,Base!H80=Plans!$C$1),Plans!$C$5,AND(F80=Plans!$A$5,Base!H80=Plans!$D$1),Plans!$D$5)</f>
        <v>299.89999999999998</v>
      </c>
      <c r="J80" s="3" t="s">
        <v>150</v>
      </c>
    </row>
    <row r="81" spans="1:10" x14ac:dyDescent="0.35">
      <c r="A81" s="2">
        <v>1403</v>
      </c>
      <c r="B81" s="3" t="s">
        <v>63</v>
      </c>
      <c r="C81" s="3" t="s">
        <v>164</v>
      </c>
      <c r="D81" s="3" t="s">
        <v>135</v>
      </c>
      <c r="E81" s="3" t="s">
        <v>172</v>
      </c>
      <c r="F81" s="3" t="s">
        <v>139</v>
      </c>
      <c r="G81" s="4">
        <v>45952</v>
      </c>
      <c r="H81" s="3" t="s">
        <v>161</v>
      </c>
      <c r="I81" s="9">
        <f>_xlfn.IFS(AND(F81=Plans!$A$2,Base!H81=Plans!$B$1),Plans!$B$2,AND(F81=Plans!$A$2,Base!H81=Plans!$C$1),Plans!$C$2,AND(F81=Plans!$A$2,Base!H81=Plans!$D$1),Plans!$D$2,AND(F81=Plans!$A$3,Base!H81=Plans!$B$1),Plans!$B$3,AND(F81=Plans!$A$3,Base!H81=Plans!$C$1),Plans!$C$3,AND(F81=Plans!$A$3,Base!H81=Plans!$D$1),Plans!$D$3,AND(F81=Plans!$A$4,Base!H81=Plans!$B$1),Plans!$B$4,AND(F81=Plans!$A$4,Base!H81=Plans!$C$1),Plans!$C$4,AND(F81=Plans!$A$4,Base!H81=Plans!$D$1),Plans!$D$4,AND(F81=Plans!$A$5,Base!H81=Plans!$B$1),Plans!$B$5,AND(F81=Plans!$A$5,Base!H81=Plans!$C$1),Plans!$C$5,AND(F81=Plans!$A$5,Base!H81=Plans!$D$1),Plans!$D$5)</f>
        <v>489.9</v>
      </c>
      <c r="J81" s="3" t="s">
        <v>146</v>
      </c>
    </row>
    <row r="82" spans="1:10" x14ac:dyDescent="0.35">
      <c r="A82" s="2">
        <v>1404</v>
      </c>
      <c r="B82" s="3" t="s">
        <v>64</v>
      </c>
      <c r="C82" s="3" t="s">
        <v>164</v>
      </c>
      <c r="D82" s="3" t="s">
        <v>123</v>
      </c>
      <c r="E82" s="3" t="s">
        <v>171</v>
      </c>
      <c r="F82" s="3" t="s">
        <v>140</v>
      </c>
      <c r="G82" s="4">
        <v>45955</v>
      </c>
      <c r="H82" s="3" t="s">
        <v>161</v>
      </c>
      <c r="I82" s="9">
        <f>_xlfn.IFS(AND(F82=Plans!$A$2,Base!H82=Plans!$B$1),Plans!$B$2,AND(F82=Plans!$A$2,Base!H82=Plans!$C$1),Plans!$C$2,AND(F82=Plans!$A$2,Base!H82=Plans!$D$1),Plans!$D$2,AND(F82=Plans!$A$3,Base!H82=Plans!$B$1),Plans!$B$3,AND(F82=Plans!$A$3,Base!H82=Plans!$C$1),Plans!$C$3,AND(F82=Plans!$A$3,Base!H82=Plans!$D$1),Plans!$D$3,AND(F82=Plans!$A$4,Base!H82=Plans!$B$1),Plans!$B$4,AND(F82=Plans!$A$4,Base!H82=Plans!$C$1),Plans!$C$4,AND(F82=Plans!$A$4,Base!H82=Plans!$D$1),Plans!$D$4,AND(F82=Plans!$A$5,Base!H82=Plans!$B$1),Plans!$B$5,AND(F82=Plans!$A$5,Base!H82=Plans!$C$1),Plans!$C$5,AND(F82=Plans!$A$5,Base!H82=Plans!$D$1),Plans!$D$5)</f>
        <v>349.9</v>
      </c>
      <c r="J82" s="3" t="s">
        <v>151</v>
      </c>
    </row>
    <row r="83" spans="1:10" x14ac:dyDescent="0.35">
      <c r="A83" s="2">
        <v>1405</v>
      </c>
      <c r="B83" s="3" t="s">
        <v>65</v>
      </c>
      <c r="C83" s="3" t="s">
        <v>165</v>
      </c>
      <c r="D83" s="3" t="s">
        <v>134</v>
      </c>
      <c r="E83" s="3" t="s">
        <v>171</v>
      </c>
      <c r="F83" s="3" t="s">
        <v>140</v>
      </c>
      <c r="G83" s="4">
        <v>45958</v>
      </c>
      <c r="H83" s="3" t="s">
        <v>162</v>
      </c>
      <c r="I83" s="9">
        <f>_xlfn.IFS(AND(F83=Plans!$A$2,Base!H83=Plans!$B$1),Plans!$B$2,AND(F83=Plans!$A$2,Base!H83=Plans!$C$1),Plans!$C$2,AND(F83=Plans!$A$2,Base!H83=Plans!$D$1),Plans!$D$2,AND(F83=Plans!$A$3,Base!H83=Plans!$B$1),Plans!$B$3,AND(F83=Plans!$A$3,Base!H83=Plans!$C$1),Plans!$C$3,AND(F83=Plans!$A$3,Base!H83=Plans!$D$1),Plans!$D$3,AND(F83=Plans!$A$4,Base!H83=Plans!$B$1),Plans!$B$4,AND(F83=Plans!$A$4,Base!H83=Plans!$C$1),Plans!$C$4,AND(F83=Plans!$A$4,Base!H83=Plans!$D$1),Plans!$D$4,AND(F83=Plans!$A$5,Base!H83=Plans!$B$1),Plans!$B$5,AND(F83=Plans!$A$5,Base!H83=Plans!$C$1),Plans!$C$5,AND(F83=Plans!$A$5,Base!H83=Plans!$D$1),Plans!$D$5)</f>
        <v>54.9</v>
      </c>
      <c r="J83" s="3" t="s">
        <v>149</v>
      </c>
    </row>
    <row r="84" spans="1:10" x14ac:dyDescent="0.35">
      <c r="A84" s="2">
        <v>1406</v>
      </c>
      <c r="B84" s="3" t="s">
        <v>66</v>
      </c>
      <c r="C84" s="3" t="s">
        <v>165</v>
      </c>
      <c r="D84" s="3" t="s">
        <v>133</v>
      </c>
      <c r="E84" s="3" t="s">
        <v>174</v>
      </c>
      <c r="F84" s="3" t="s">
        <v>140</v>
      </c>
      <c r="G84" s="4">
        <v>45961</v>
      </c>
      <c r="H84" s="3" t="s">
        <v>178</v>
      </c>
      <c r="I84" s="9">
        <f>_xlfn.IFS(AND(F84=Plans!$A$2,Base!H84=Plans!$B$1),Plans!$B$2,AND(F84=Plans!$A$2,Base!H84=Plans!$C$1),Plans!$C$2,AND(F84=Plans!$A$2,Base!H84=Plans!$D$1),Plans!$D$2,AND(F84=Plans!$A$3,Base!H84=Plans!$B$1),Plans!$B$3,AND(F84=Plans!$A$3,Base!H84=Plans!$C$1),Plans!$C$3,AND(F84=Plans!$A$3,Base!H84=Plans!$D$1),Plans!$D$3,AND(F84=Plans!$A$4,Base!H84=Plans!$B$1),Plans!$B$4,AND(F84=Plans!$A$4,Base!H84=Plans!$C$1),Plans!$C$4,AND(F84=Plans!$A$4,Base!H84=Plans!$D$1),Plans!$D$4,AND(F84=Plans!$A$5,Base!H84=Plans!$B$1),Plans!$B$5,AND(F84=Plans!$A$5,Base!H84=Plans!$C$1),Plans!$C$5,AND(F84=Plans!$A$5,Base!H84=Plans!$D$1),Plans!$D$5)</f>
        <v>449.9</v>
      </c>
      <c r="J84" s="3" t="s">
        <v>145</v>
      </c>
    </row>
    <row r="85" spans="1:10" x14ac:dyDescent="0.35">
      <c r="A85" s="2">
        <v>1407</v>
      </c>
      <c r="B85" s="3" t="s">
        <v>15</v>
      </c>
      <c r="C85" s="3" t="s">
        <v>164</v>
      </c>
      <c r="D85" s="3" t="s">
        <v>128</v>
      </c>
      <c r="E85" s="3" t="s">
        <v>171</v>
      </c>
      <c r="F85" s="3" t="s">
        <v>141</v>
      </c>
      <c r="G85" s="4">
        <v>45964</v>
      </c>
      <c r="H85" s="3" t="s">
        <v>178</v>
      </c>
      <c r="I85" s="9">
        <f>_xlfn.IFS(AND(F85=Plans!$A$2,Base!H85=Plans!$B$1),Plans!$B$2,AND(F85=Plans!$A$2,Base!H85=Plans!$C$1),Plans!$C$2,AND(F85=Plans!$A$2,Base!H85=Plans!$D$1),Plans!$D$2,AND(F85=Plans!$A$3,Base!H85=Plans!$B$1),Plans!$B$3,AND(F85=Plans!$A$3,Base!H85=Plans!$C$1),Plans!$C$3,AND(F85=Plans!$A$3,Base!H85=Plans!$D$1),Plans!$D$3,AND(F85=Plans!$A$4,Base!H85=Plans!$B$1),Plans!$B$4,AND(F85=Plans!$A$4,Base!H85=Plans!$C$1),Plans!$C$4,AND(F85=Plans!$A$4,Base!H85=Plans!$D$1),Plans!$D$4,AND(F85=Plans!$A$5,Base!H85=Plans!$B$1),Plans!$B$5,AND(F85=Plans!$A$5,Base!H85=Plans!$C$1),Plans!$C$5,AND(F85=Plans!$A$5,Base!H85=Plans!$D$1),Plans!$D$5)</f>
        <v>199.9</v>
      </c>
      <c r="J85" s="3" t="s">
        <v>163</v>
      </c>
    </row>
    <row r="86" spans="1:10" x14ac:dyDescent="0.35">
      <c r="A86" s="2">
        <v>1408</v>
      </c>
      <c r="B86" s="3" t="s">
        <v>67</v>
      </c>
      <c r="C86" s="3" t="s">
        <v>165</v>
      </c>
      <c r="D86" s="3" t="s">
        <v>135</v>
      </c>
      <c r="E86" s="3" t="s">
        <v>172</v>
      </c>
      <c r="F86" s="3" t="s">
        <v>141</v>
      </c>
      <c r="G86" s="4">
        <v>45967</v>
      </c>
      <c r="H86" s="3" t="s">
        <v>178</v>
      </c>
      <c r="I86" s="9">
        <f>_xlfn.IFS(AND(F86=Plans!$A$2,Base!H86=Plans!$B$1),Plans!$B$2,AND(F86=Plans!$A$2,Base!H86=Plans!$C$1),Plans!$C$2,AND(F86=Plans!$A$2,Base!H86=Plans!$D$1),Plans!$D$2,AND(F86=Plans!$A$3,Base!H86=Plans!$B$1),Plans!$B$3,AND(F86=Plans!$A$3,Base!H86=Plans!$C$1),Plans!$C$3,AND(F86=Plans!$A$3,Base!H86=Plans!$D$1),Plans!$D$3,AND(F86=Plans!$A$4,Base!H86=Plans!$B$1),Plans!$B$4,AND(F86=Plans!$A$4,Base!H86=Plans!$C$1),Plans!$C$4,AND(F86=Plans!$A$4,Base!H86=Plans!$D$1),Plans!$D$4,AND(F86=Plans!$A$5,Base!H86=Plans!$B$1),Plans!$B$5,AND(F86=Plans!$A$5,Base!H86=Plans!$C$1),Plans!$C$5,AND(F86=Plans!$A$5,Base!H86=Plans!$D$1),Plans!$D$5)</f>
        <v>199.9</v>
      </c>
      <c r="J86" s="3" t="s">
        <v>146</v>
      </c>
    </row>
    <row r="87" spans="1:10" x14ac:dyDescent="0.35">
      <c r="A87" s="2">
        <v>1409</v>
      </c>
      <c r="B87" s="3" t="s">
        <v>42</v>
      </c>
      <c r="C87" s="3" t="s">
        <v>164</v>
      </c>
      <c r="D87" s="3" t="s">
        <v>128</v>
      </c>
      <c r="E87" s="3" t="s">
        <v>171</v>
      </c>
      <c r="F87" s="3" t="s">
        <v>142</v>
      </c>
      <c r="G87" s="4">
        <v>45969</v>
      </c>
      <c r="H87" s="3" t="s">
        <v>178</v>
      </c>
      <c r="I87" s="9">
        <f>_xlfn.IFS(AND(F87=Plans!$A$2,Base!H87=Plans!$B$1),Plans!$B$2,AND(F87=Plans!$A$2,Base!H87=Plans!$C$1),Plans!$C$2,AND(F87=Plans!$A$2,Base!H87=Plans!$D$1),Plans!$D$2,AND(F87=Plans!$A$3,Base!H87=Plans!$B$1),Plans!$B$3,AND(F87=Plans!$A$3,Base!H87=Plans!$C$1),Plans!$C$3,AND(F87=Plans!$A$3,Base!H87=Plans!$D$1),Plans!$D$3,AND(F87=Plans!$A$4,Base!H87=Plans!$B$1),Plans!$B$4,AND(F87=Plans!$A$4,Base!H87=Plans!$C$1),Plans!$C$4,AND(F87=Plans!$A$4,Base!H87=Plans!$D$1),Plans!$D$4,AND(F87=Plans!$A$5,Base!H87=Plans!$B$1),Plans!$B$5,AND(F87=Plans!$A$5,Base!H87=Plans!$C$1),Plans!$C$5,AND(F87=Plans!$A$5,Base!H87=Plans!$D$1),Plans!$D$5)</f>
        <v>299.89999999999998</v>
      </c>
      <c r="J87" s="3" t="s">
        <v>149</v>
      </c>
    </row>
    <row r="88" spans="1:10" x14ac:dyDescent="0.35">
      <c r="A88" s="2">
        <v>1410</v>
      </c>
      <c r="B88" s="3" t="s">
        <v>68</v>
      </c>
      <c r="C88" s="3" t="s">
        <v>165</v>
      </c>
      <c r="D88" s="3" t="s">
        <v>135</v>
      </c>
      <c r="E88" s="3" t="s">
        <v>172</v>
      </c>
      <c r="F88" s="3" t="s">
        <v>139</v>
      </c>
      <c r="G88" s="4">
        <v>45972</v>
      </c>
      <c r="H88" s="3" t="s">
        <v>161</v>
      </c>
      <c r="I88" s="9">
        <f>_xlfn.IFS(AND(F88=Plans!$A$2,Base!H88=Plans!$B$1),Plans!$B$2,AND(F88=Plans!$A$2,Base!H88=Plans!$C$1),Plans!$C$2,AND(F88=Plans!$A$2,Base!H88=Plans!$D$1),Plans!$D$2,AND(F88=Plans!$A$3,Base!H88=Plans!$B$1),Plans!$B$3,AND(F88=Plans!$A$3,Base!H88=Plans!$C$1),Plans!$C$3,AND(F88=Plans!$A$3,Base!H88=Plans!$D$1),Plans!$D$3,AND(F88=Plans!$A$4,Base!H88=Plans!$B$1),Plans!$B$4,AND(F88=Plans!$A$4,Base!H88=Plans!$C$1),Plans!$C$4,AND(F88=Plans!$A$4,Base!H88=Plans!$D$1),Plans!$D$4,AND(F88=Plans!$A$5,Base!H88=Plans!$B$1),Plans!$B$5,AND(F88=Plans!$A$5,Base!H88=Plans!$C$1),Plans!$C$5,AND(F88=Plans!$A$5,Base!H88=Plans!$D$1),Plans!$D$5)</f>
        <v>489.9</v>
      </c>
      <c r="J88" s="3" t="s">
        <v>150</v>
      </c>
    </row>
    <row r="89" spans="1:10" x14ac:dyDescent="0.35">
      <c r="A89" s="2">
        <v>1411</v>
      </c>
      <c r="B89" s="3" t="s">
        <v>31</v>
      </c>
      <c r="C89" s="3" t="s">
        <v>165</v>
      </c>
      <c r="D89" s="3" t="s">
        <v>138</v>
      </c>
      <c r="E89" s="3" t="s">
        <v>171</v>
      </c>
      <c r="F89" s="3" t="s">
        <v>141</v>
      </c>
      <c r="G89" s="4">
        <v>45975</v>
      </c>
      <c r="H89" s="3" t="s">
        <v>162</v>
      </c>
      <c r="I89" s="9">
        <f>_xlfn.IFS(AND(F89=Plans!$A$2,Base!H89=Plans!$B$1),Plans!$B$2,AND(F89=Plans!$A$2,Base!H89=Plans!$C$1),Plans!$C$2,AND(F89=Plans!$A$2,Base!H89=Plans!$D$1),Plans!$D$2,AND(F89=Plans!$A$3,Base!H89=Plans!$B$1),Plans!$B$3,AND(F89=Plans!$A$3,Base!H89=Plans!$C$1),Plans!$C$3,AND(F89=Plans!$A$3,Base!H89=Plans!$D$1),Plans!$D$3,AND(F89=Plans!$A$4,Base!H89=Plans!$B$1),Plans!$B$4,AND(F89=Plans!$A$4,Base!H89=Plans!$C$1),Plans!$C$4,AND(F89=Plans!$A$4,Base!H89=Plans!$D$1),Plans!$D$4,AND(F89=Plans!$A$5,Base!H89=Plans!$B$1),Plans!$B$5,AND(F89=Plans!$A$5,Base!H89=Plans!$C$1),Plans!$C$5,AND(F89=Plans!$A$5,Base!H89=Plans!$D$1),Plans!$D$5)</f>
        <v>24.9</v>
      </c>
      <c r="J89" s="3" t="s">
        <v>143</v>
      </c>
    </row>
    <row r="90" spans="1:10" x14ac:dyDescent="0.35">
      <c r="A90" s="2">
        <v>1412</v>
      </c>
      <c r="B90" s="3" t="s">
        <v>1</v>
      </c>
      <c r="C90" s="3" t="s">
        <v>165</v>
      </c>
      <c r="D90" s="3" t="s">
        <v>135</v>
      </c>
      <c r="E90" s="3" t="s">
        <v>172</v>
      </c>
      <c r="F90" s="3" t="s">
        <v>141</v>
      </c>
      <c r="G90" s="4">
        <v>45978</v>
      </c>
      <c r="H90" s="3" t="s">
        <v>178</v>
      </c>
      <c r="I90" s="9">
        <f>_xlfn.IFS(AND(F90=Plans!$A$2,Base!H90=Plans!$B$1),Plans!$B$2,AND(F90=Plans!$A$2,Base!H90=Plans!$C$1),Plans!$C$2,AND(F90=Plans!$A$2,Base!H90=Plans!$D$1),Plans!$D$2,AND(F90=Plans!$A$3,Base!H90=Plans!$B$1),Plans!$B$3,AND(F90=Plans!$A$3,Base!H90=Plans!$C$1),Plans!$C$3,AND(F90=Plans!$A$3,Base!H90=Plans!$D$1),Plans!$D$3,AND(F90=Plans!$A$4,Base!H90=Plans!$B$1),Plans!$B$4,AND(F90=Plans!$A$4,Base!H90=Plans!$C$1),Plans!$C$4,AND(F90=Plans!$A$4,Base!H90=Plans!$D$1),Plans!$D$4,AND(F90=Plans!$A$5,Base!H90=Plans!$B$1),Plans!$B$5,AND(F90=Plans!$A$5,Base!H90=Plans!$C$1),Plans!$C$5,AND(F90=Plans!$A$5,Base!H90=Plans!$D$1),Plans!$D$5)</f>
        <v>199.9</v>
      </c>
      <c r="J90" s="3" t="s">
        <v>163</v>
      </c>
    </row>
    <row r="91" spans="1:10" x14ac:dyDescent="0.35">
      <c r="A91" s="2">
        <v>1413</v>
      </c>
      <c r="B91" s="3" t="s">
        <v>69</v>
      </c>
      <c r="C91" s="3" t="s">
        <v>164</v>
      </c>
      <c r="D91" s="3" t="s">
        <v>128</v>
      </c>
      <c r="E91" s="3" t="s">
        <v>171</v>
      </c>
      <c r="F91" s="3" t="s">
        <v>139</v>
      </c>
      <c r="G91" s="4">
        <v>45981</v>
      </c>
      <c r="H91" s="3" t="s">
        <v>161</v>
      </c>
      <c r="I91" s="9">
        <f>_xlfn.IFS(AND(F91=Plans!$A$2,Base!H91=Plans!$B$1),Plans!$B$2,AND(F91=Plans!$A$2,Base!H91=Plans!$C$1),Plans!$C$2,AND(F91=Plans!$A$2,Base!H91=Plans!$D$1),Plans!$D$2,AND(F91=Plans!$A$3,Base!H91=Plans!$B$1),Plans!$B$3,AND(F91=Plans!$A$3,Base!H91=Plans!$C$1),Plans!$C$3,AND(F91=Plans!$A$3,Base!H91=Plans!$D$1),Plans!$D$3,AND(F91=Plans!$A$4,Base!H91=Plans!$B$1),Plans!$B$4,AND(F91=Plans!$A$4,Base!H91=Plans!$C$1),Plans!$C$4,AND(F91=Plans!$A$4,Base!H91=Plans!$D$1),Plans!$D$4,AND(F91=Plans!$A$5,Base!H91=Plans!$B$1),Plans!$B$5,AND(F91=Plans!$A$5,Base!H91=Plans!$C$1),Plans!$C$5,AND(F91=Plans!$A$5,Base!H91=Plans!$D$1),Plans!$D$5)</f>
        <v>489.9</v>
      </c>
      <c r="J91" s="3" t="s">
        <v>151</v>
      </c>
    </row>
    <row r="92" spans="1:10" x14ac:dyDescent="0.35">
      <c r="A92" s="2">
        <v>1414</v>
      </c>
      <c r="B92" s="3" t="s">
        <v>70</v>
      </c>
      <c r="C92" s="3" t="s">
        <v>166</v>
      </c>
      <c r="D92" s="3" t="s">
        <v>137</v>
      </c>
      <c r="E92" s="3" t="s">
        <v>170</v>
      </c>
      <c r="F92" s="3" t="s">
        <v>141</v>
      </c>
      <c r="G92" s="4">
        <v>45984</v>
      </c>
      <c r="H92" s="3" t="s">
        <v>178</v>
      </c>
      <c r="I92" s="9">
        <f>_xlfn.IFS(AND(F92=Plans!$A$2,Base!H92=Plans!$B$1),Plans!$B$2,AND(F92=Plans!$A$2,Base!H92=Plans!$C$1),Plans!$C$2,AND(F92=Plans!$A$2,Base!H92=Plans!$D$1),Plans!$D$2,AND(F92=Plans!$A$3,Base!H92=Plans!$B$1),Plans!$B$3,AND(F92=Plans!$A$3,Base!H92=Plans!$C$1),Plans!$C$3,AND(F92=Plans!$A$3,Base!H92=Plans!$D$1),Plans!$D$3,AND(F92=Plans!$A$4,Base!H92=Plans!$B$1),Plans!$B$4,AND(F92=Plans!$A$4,Base!H92=Plans!$C$1),Plans!$C$4,AND(F92=Plans!$A$4,Base!H92=Plans!$D$1),Plans!$D$4,AND(F92=Plans!$A$5,Base!H92=Plans!$B$1),Plans!$B$5,AND(F92=Plans!$A$5,Base!H92=Plans!$C$1),Plans!$C$5,AND(F92=Plans!$A$5,Base!H92=Plans!$D$1),Plans!$D$5)</f>
        <v>199.9</v>
      </c>
      <c r="J92" s="3" t="s">
        <v>146</v>
      </c>
    </row>
    <row r="93" spans="1:10" x14ac:dyDescent="0.35">
      <c r="A93" s="2">
        <v>1415</v>
      </c>
      <c r="B93" s="3" t="s">
        <v>67</v>
      </c>
      <c r="C93" s="3" t="s">
        <v>165</v>
      </c>
      <c r="D93" s="3" t="s">
        <v>123</v>
      </c>
      <c r="E93" s="3" t="s">
        <v>171</v>
      </c>
      <c r="F93" s="3" t="s">
        <v>141</v>
      </c>
      <c r="G93" s="4">
        <v>45987</v>
      </c>
      <c r="H93" s="3" t="s">
        <v>162</v>
      </c>
      <c r="I93" s="9">
        <f>_xlfn.IFS(AND(F93=Plans!$A$2,Base!H93=Plans!$B$1),Plans!$B$2,AND(F93=Plans!$A$2,Base!H93=Plans!$C$1),Plans!$C$2,AND(F93=Plans!$A$2,Base!H93=Plans!$D$1),Plans!$D$2,AND(F93=Plans!$A$3,Base!H93=Plans!$B$1),Plans!$B$3,AND(F93=Plans!$A$3,Base!H93=Plans!$C$1),Plans!$C$3,AND(F93=Plans!$A$3,Base!H93=Plans!$D$1),Plans!$D$3,AND(F93=Plans!$A$4,Base!H93=Plans!$B$1),Plans!$B$4,AND(F93=Plans!$A$4,Base!H93=Plans!$C$1),Plans!$C$4,AND(F93=Plans!$A$4,Base!H93=Plans!$D$1),Plans!$D$4,AND(F93=Plans!$A$5,Base!H93=Plans!$B$1),Plans!$B$5,AND(F93=Plans!$A$5,Base!H93=Plans!$C$1),Plans!$C$5,AND(F93=Plans!$A$5,Base!H93=Plans!$D$1),Plans!$D$5)</f>
        <v>24.9</v>
      </c>
      <c r="J93" s="3" t="s">
        <v>151</v>
      </c>
    </row>
    <row r="94" spans="1:10" x14ac:dyDescent="0.35">
      <c r="A94" s="2">
        <v>1416</v>
      </c>
      <c r="B94" s="3" t="s">
        <v>15</v>
      </c>
      <c r="C94" s="3" t="s">
        <v>164</v>
      </c>
      <c r="D94" s="3" t="s">
        <v>119</v>
      </c>
      <c r="E94" s="3" t="s">
        <v>170</v>
      </c>
      <c r="F94" s="3" t="s">
        <v>139</v>
      </c>
      <c r="G94" s="4">
        <v>45990</v>
      </c>
      <c r="H94" s="3" t="s">
        <v>162</v>
      </c>
      <c r="I94" s="9">
        <f>_xlfn.IFS(AND(F94=Plans!$A$2,Base!H94=Plans!$B$1),Plans!$B$2,AND(F94=Plans!$A$2,Base!H94=Plans!$C$1),Plans!$C$2,AND(F94=Plans!$A$2,Base!H94=Plans!$D$1),Plans!$D$2,AND(F94=Plans!$A$3,Base!H94=Plans!$B$1),Plans!$B$3,AND(F94=Plans!$A$3,Base!H94=Plans!$C$1),Plans!$C$3,AND(F94=Plans!$A$3,Base!H94=Plans!$D$1),Plans!$D$3,AND(F94=Plans!$A$4,Base!H94=Plans!$B$1),Plans!$B$4,AND(F94=Plans!$A$4,Base!H94=Plans!$C$1),Plans!$C$4,AND(F94=Plans!$A$4,Base!H94=Plans!$D$1),Plans!$D$4,AND(F94=Plans!$A$5,Base!H94=Plans!$B$1),Plans!$B$5,AND(F94=Plans!$A$5,Base!H94=Plans!$C$1),Plans!$C$5,AND(F94=Plans!$A$5,Base!H94=Plans!$D$1),Plans!$D$5)</f>
        <v>74.900000000000006</v>
      </c>
      <c r="J94" s="3" t="s">
        <v>152</v>
      </c>
    </row>
    <row r="95" spans="1:10" x14ac:dyDescent="0.35">
      <c r="A95" s="2">
        <v>1417</v>
      </c>
      <c r="B95" s="3" t="s">
        <v>71</v>
      </c>
      <c r="C95" s="3" t="s">
        <v>164</v>
      </c>
      <c r="D95" s="3" t="s">
        <v>126</v>
      </c>
      <c r="E95" s="3" t="s">
        <v>172</v>
      </c>
      <c r="F95" s="3" t="s">
        <v>141</v>
      </c>
      <c r="G95" s="4">
        <v>45993</v>
      </c>
      <c r="H95" s="3" t="s">
        <v>178</v>
      </c>
      <c r="I95" s="9">
        <f>_xlfn.IFS(AND(F95=Plans!$A$2,Base!H95=Plans!$B$1),Plans!$B$2,AND(F95=Plans!$A$2,Base!H95=Plans!$C$1),Plans!$C$2,AND(F95=Plans!$A$2,Base!H95=Plans!$D$1),Plans!$D$2,AND(F95=Plans!$A$3,Base!H95=Plans!$B$1),Plans!$B$3,AND(F95=Plans!$A$3,Base!H95=Plans!$C$1),Plans!$C$3,AND(F95=Plans!$A$3,Base!H95=Plans!$D$1),Plans!$D$3,AND(F95=Plans!$A$4,Base!H95=Plans!$B$1),Plans!$B$4,AND(F95=Plans!$A$4,Base!H95=Plans!$C$1),Plans!$C$4,AND(F95=Plans!$A$4,Base!H95=Plans!$D$1),Plans!$D$4,AND(F95=Plans!$A$5,Base!H95=Plans!$B$1),Plans!$B$5,AND(F95=Plans!$A$5,Base!H95=Plans!$C$1),Plans!$C$5,AND(F95=Plans!$A$5,Base!H95=Plans!$D$1),Plans!$D$5)</f>
        <v>199.9</v>
      </c>
      <c r="J95" s="3" t="s">
        <v>146</v>
      </c>
    </row>
    <row r="96" spans="1:10" x14ac:dyDescent="0.35">
      <c r="A96" s="2">
        <v>1418</v>
      </c>
      <c r="B96" s="3" t="s">
        <v>72</v>
      </c>
      <c r="C96" s="3" t="s">
        <v>165</v>
      </c>
      <c r="D96" s="3" t="s">
        <v>137</v>
      </c>
      <c r="E96" s="3" t="s">
        <v>170</v>
      </c>
      <c r="F96" s="3" t="s">
        <v>141</v>
      </c>
      <c r="G96" s="4">
        <v>45996</v>
      </c>
      <c r="H96" s="3" t="s">
        <v>178</v>
      </c>
      <c r="I96" s="9">
        <f>_xlfn.IFS(AND(F96=Plans!$A$2,Base!H96=Plans!$B$1),Plans!$B$2,AND(F96=Plans!$A$2,Base!H96=Plans!$C$1),Plans!$C$2,AND(F96=Plans!$A$2,Base!H96=Plans!$D$1),Plans!$D$2,AND(F96=Plans!$A$3,Base!H96=Plans!$B$1),Plans!$B$3,AND(F96=Plans!$A$3,Base!H96=Plans!$C$1),Plans!$C$3,AND(F96=Plans!$A$3,Base!H96=Plans!$D$1),Plans!$D$3,AND(F96=Plans!$A$4,Base!H96=Plans!$B$1),Plans!$B$4,AND(F96=Plans!$A$4,Base!H96=Plans!$C$1),Plans!$C$4,AND(F96=Plans!$A$4,Base!H96=Plans!$D$1),Plans!$D$4,AND(F96=Plans!$A$5,Base!H96=Plans!$B$1),Plans!$B$5,AND(F96=Plans!$A$5,Base!H96=Plans!$C$1),Plans!$C$5,AND(F96=Plans!$A$5,Base!H96=Plans!$D$1),Plans!$D$5)</f>
        <v>199.9</v>
      </c>
      <c r="J96" s="3" t="s">
        <v>149</v>
      </c>
    </row>
    <row r="97" spans="1:10" x14ac:dyDescent="0.35">
      <c r="A97" s="2">
        <v>1419</v>
      </c>
      <c r="B97" s="3" t="s">
        <v>73</v>
      </c>
      <c r="C97" s="3" t="s">
        <v>165</v>
      </c>
      <c r="D97" s="3" t="s">
        <v>129</v>
      </c>
      <c r="E97" s="3" t="s">
        <v>171</v>
      </c>
      <c r="F97" s="3" t="s">
        <v>139</v>
      </c>
      <c r="G97" s="4">
        <v>45999</v>
      </c>
      <c r="H97" s="3" t="s">
        <v>178</v>
      </c>
      <c r="I97" s="9">
        <f>_xlfn.IFS(AND(F97=Plans!$A$2,Base!H97=Plans!$B$1),Plans!$B$2,AND(F97=Plans!$A$2,Base!H97=Plans!$C$1),Plans!$C$2,AND(F97=Plans!$A$2,Base!H97=Plans!$D$1),Plans!$D$2,AND(F97=Plans!$A$3,Base!H97=Plans!$B$1),Plans!$B$3,AND(F97=Plans!$A$3,Base!H97=Plans!$C$1),Plans!$C$3,AND(F97=Plans!$A$3,Base!H97=Plans!$D$1),Plans!$D$3,AND(F97=Plans!$A$4,Base!H97=Plans!$B$1),Plans!$B$4,AND(F97=Plans!$A$4,Base!H97=Plans!$C$1),Plans!$C$4,AND(F97=Plans!$A$4,Base!H97=Plans!$D$1),Plans!$D$4,AND(F97=Plans!$A$5,Base!H97=Plans!$B$1),Plans!$B$5,AND(F97=Plans!$A$5,Base!H97=Plans!$C$1),Plans!$C$5,AND(F97=Plans!$A$5,Base!H97=Plans!$D$1),Plans!$D$5)</f>
        <v>599.9</v>
      </c>
      <c r="J97" s="3" t="s">
        <v>148</v>
      </c>
    </row>
    <row r="98" spans="1:10" x14ac:dyDescent="0.35">
      <c r="A98" s="2">
        <v>1420</v>
      </c>
      <c r="B98" s="3" t="s">
        <v>74</v>
      </c>
      <c r="C98" s="3" t="s">
        <v>164</v>
      </c>
      <c r="D98" s="3" t="s">
        <v>119</v>
      </c>
      <c r="E98" s="3" t="s">
        <v>170</v>
      </c>
      <c r="F98" s="3" t="s">
        <v>140</v>
      </c>
      <c r="G98" s="4">
        <v>46002</v>
      </c>
      <c r="H98" s="3" t="s">
        <v>178</v>
      </c>
      <c r="I98" s="9">
        <f>_xlfn.IFS(AND(F98=Plans!$A$2,Base!H98=Plans!$B$1),Plans!$B$2,AND(F98=Plans!$A$2,Base!H98=Plans!$C$1),Plans!$C$2,AND(F98=Plans!$A$2,Base!H98=Plans!$D$1),Plans!$D$2,AND(F98=Plans!$A$3,Base!H98=Plans!$B$1),Plans!$B$3,AND(F98=Plans!$A$3,Base!H98=Plans!$C$1),Plans!$C$3,AND(F98=Plans!$A$3,Base!H98=Plans!$D$1),Plans!$D$3,AND(F98=Plans!$A$4,Base!H98=Plans!$B$1),Plans!$B$4,AND(F98=Plans!$A$4,Base!H98=Plans!$C$1),Plans!$C$4,AND(F98=Plans!$A$4,Base!H98=Plans!$D$1),Plans!$D$4,AND(F98=Plans!$A$5,Base!H98=Plans!$B$1),Plans!$B$5,AND(F98=Plans!$A$5,Base!H98=Plans!$C$1),Plans!$C$5,AND(F98=Plans!$A$5,Base!H98=Plans!$D$1),Plans!$D$5)</f>
        <v>449.9</v>
      </c>
      <c r="J98" s="3" t="s">
        <v>143</v>
      </c>
    </row>
    <row r="99" spans="1:10" x14ac:dyDescent="0.35">
      <c r="A99" s="2">
        <v>1421</v>
      </c>
      <c r="B99" s="3" t="s">
        <v>59</v>
      </c>
      <c r="C99" s="3" t="s">
        <v>165</v>
      </c>
      <c r="D99" s="3" t="s">
        <v>133</v>
      </c>
      <c r="E99" s="3" t="s">
        <v>174</v>
      </c>
      <c r="F99" s="3" t="s">
        <v>140</v>
      </c>
      <c r="G99" s="4">
        <v>46005</v>
      </c>
      <c r="H99" s="3" t="s">
        <v>178</v>
      </c>
      <c r="I99" s="9">
        <f>_xlfn.IFS(AND(F99=Plans!$A$2,Base!H99=Plans!$B$1),Plans!$B$2,AND(F99=Plans!$A$2,Base!H99=Plans!$C$1),Plans!$C$2,AND(F99=Plans!$A$2,Base!H99=Plans!$D$1),Plans!$D$2,AND(F99=Plans!$A$3,Base!H99=Plans!$B$1),Plans!$B$3,AND(F99=Plans!$A$3,Base!H99=Plans!$C$1),Plans!$C$3,AND(F99=Plans!$A$3,Base!H99=Plans!$D$1),Plans!$D$3,AND(F99=Plans!$A$4,Base!H99=Plans!$B$1),Plans!$B$4,AND(F99=Plans!$A$4,Base!H99=Plans!$C$1),Plans!$C$4,AND(F99=Plans!$A$4,Base!H99=Plans!$D$1),Plans!$D$4,AND(F99=Plans!$A$5,Base!H99=Plans!$B$1),Plans!$B$5,AND(F99=Plans!$A$5,Base!H99=Plans!$C$1),Plans!$C$5,AND(F99=Plans!$A$5,Base!H99=Plans!$D$1),Plans!$D$5)</f>
        <v>449.9</v>
      </c>
      <c r="J99" s="3" t="s">
        <v>149</v>
      </c>
    </row>
    <row r="100" spans="1:10" x14ac:dyDescent="0.35">
      <c r="A100" s="2">
        <v>1422</v>
      </c>
      <c r="B100" s="3" t="s">
        <v>75</v>
      </c>
      <c r="C100" s="3" t="s">
        <v>165</v>
      </c>
      <c r="D100" s="3" t="s">
        <v>138</v>
      </c>
      <c r="E100" s="3" t="s">
        <v>171</v>
      </c>
      <c r="F100" s="3" t="s">
        <v>142</v>
      </c>
      <c r="G100" s="4">
        <v>45721</v>
      </c>
      <c r="H100" s="3" t="s">
        <v>178</v>
      </c>
      <c r="I100" s="9">
        <f>_xlfn.IFS(AND(F100=Plans!$A$2,Base!H100=Plans!$B$1),Plans!$B$2,AND(F100=Plans!$A$2,Base!H100=Plans!$C$1),Plans!$C$2,AND(F100=Plans!$A$2,Base!H100=Plans!$D$1),Plans!$D$2,AND(F100=Plans!$A$3,Base!H100=Plans!$B$1),Plans!$B$3,AND(F100=Plans!$A$3,Base!H100=Plans!$C$1),Plans!$C$3,AND(F100=Plans!$A$3,Base!H100=Plans!$D$1),Plans!$D$3,AND(F100=Plans!$A$4,Base!H100=Plans!$B$1),Plans!$B$4,AND(F100=Plans!$A$4,Base!H100=Plans!$C$1),Plans!$C$4,AND(F100=Plans!$A$4,Base!H100=Plans!$D$1),Plans!$D$4,AND(F100=Plans!$A$5,Base!H100=Plans!$B$1),Plans!$B$5,AND(F100=Plans!$A$5,Base!H100=Plans!$C$1),Plans!$C$5,AND(F100=Plans!$A$5,Base!H100=Plans!$D$1),Plans!$D$5)</f>
        <v>299.89999999999998</v>
      </c>
      <c r="J100" s="3" t="s">
        <v>163</v>
      </c>
    </row>
    <row r="101" spans="1:10" x14ac:dyDescent="0.35">
      <c r="A101" s="2">
        <v>1423</v>
      </c>
      <c r="B101" s="3" t="s">
        <v>56</v>
      </c>
      <c r="C101" s="3" t="s">
        <v>165</v>
      </c>
      <c r="D101" s="3" t="s">
        <v>122</v>
      </c>
      <c r="E101" s="3" t="s">
        <v>170</v>
      </c>
      <c r="F101" s="3" t="s">
        <v>142</v>
      </c>
      <c r="G101" s="4">
        <v>45724</v>
      </c>
      <c r="H101" s="3" t="s">
        <v>162</v>
      </c>
      <c r="I101" s="9">
        <f>_xlfn.IFS(AND(F101=Plans!$A$2,Base!H101=Plans!$B$1),Plans!$B$2,AND(F101=Plans!$A$2,Base!H101=Plans!$C$1),Plans!$C$2,AND(F101=Plans!$A$2,Base!H101=Plans!$D$1),Plans!$D$2,AND(F101=Plans!$A$3,Base!H101=Plans!$B$1),Plans!$B$3,AND(F101=Plans!$A$3,Base!H101=Plans!$C$1),Plans!$C$3,AND(F101=Plans!$A$3,Base!H101=Plans!$D$1),Plans!$D$3,AND(F101=Plans!$A$4,Base!H101=Plans!$B$1),Plans!$B$4,AND(F101=Plans!$A$4,Base!H101=Plans!$C$1),Plans!$C$4,AND(F101=Plans!$A$4,Base!H101=Plans!$D$1),Plans!$D$4,AND(F101=Plans!$A$5,Base!H101=Plans!$B$1),Plans!$B$5,AND(F101=Plans!$A$5,Base!H101=Plans!$C$1),Plans!$C$5,AND(F101=Plans!$A$5,Base!H101=Plans!$D$1),Plans!$D$5)</f>
        <v>39.9</v>
      </c>
      <c r="J101" s="3" t="s">
        <v>151</v>
      </c>
    </row>
    <row r="102" spans="1:10" x14ac:dyDescent="0.35">
      <c r="A102" s="2">
        <v>1424</v>
      </c>
      <c r="B102" s="3" t="s">
        <v>76</v>
      </c>
      <c r="C102" s="3" t="s">
        <v>164</v>
      </c>
      <c r="D102" s="3" t="s">
        <v>136</v>
      </c>
      <c r="E102" s="3" t="s">
        <v>173</v>
      </c>
      <c r="F102" s="3" t="s">
        <v>140</v>
      </c>
      <c r="G102" s="4">
        <v>45727</v>
      </c>
      <c r="H102" s="3" t="s">
        <v>162</v>
      </c>
      <c r="I102" s="9">
        <f>_xlfn.IFS(AND(F102=Plans!$A$2,Base!H102=Plans!$B$1),Plans!$B$2,AND(F102=Plans!$A$2,Base!H102=Plans!$C$1),Plans!$C$2,AND(F102=Plans!$A$2,Base!H102=Plans!$D$1),Plans!$D$2,AND(F102=Plans!$A$3,Base!H102=Plans!$B$1),Plans!$B$3,AND(F102=Plans!$A$3,Base!H102=Plans!$C$1),Plans!$C$3,AND(F102=Plans!$A$3,Base!H102=Plans!$D$1),Plans!$D$3,AND(F102=Plans!$A$4,Base!H102=Plans!$B$1),Plans!$B$4,AND(F102=Plans!$A$4,Base!H102=Plans!$C$1),Plans!$C$4,AND(F102=Plans!$A$4,Base!H102=Plans!$D$1),Plans!$D$4,AND(F102=Plans!$A$5,Base!H102=Plans!$B$1),Plans!$B$5,AND(F102=Plans!$A$5,Base!H102=Plans!$C$1),Plans!$C$5,AND(F102=Plans!$A$5,Base!H102=Plans!$D$1),Plans!$D$5)</f>
        <v>54.9</v>
      </c>
      <c r="J102" s="3" t="s">
        <v>149</v>
      </c>
    </row>
    <row r="103" spans="1:10" x14ac:dyDescent="0.35">
      <c r="A103" s="2">
        <v>1425</v>
      </c>
      <c r="B103" s="3" t="s">
        <v>74</v>
      </c>
      <c r="C103" s="3" t="s">
        <v>164</v>
      </c>
      <c r="D103" s="3" t="s">
        <v>128</v>
      </c>
      <c r="E103" s="3" t="s">
        <v>171</v>
      </c>
      <c r="F103" s="3" t="s">
        <v>141</v>
      </c>
      <c r="G103" s="4">
        <v>45730</v>
      </c>
      <c r="H103" s="3" t="s">
        <v>162</v>
      </c>
      <c r="I103" s="9">
        <f>_xlfn.IFS(AND(F103=Plans!$A$2,Base!H103=Plans!$B$1),Plans!$B$2,AND(F103=Plans!$A$2,Base!H103=Plans!$C$1),Plans!$C$2,AND(F103=Plans!$A$2,Base!H103=Plans!$D$1),Plans!$D$2,AND(F103=Plans!$A$3,Base!H103=Plans!$B$1),Plans!$B$3,AND(F103=Plans!$A$3,Base!H103=Plans!$C$1),Plans!$C$3,AND(F103=Plans!$A$3,Base!H103=Plans!$D$1),Plans!$D$3,AND(F103=Plans!$A$4,Base!H103=Plans!$B$1),Plans!$B$4,AND(F103=Plans!$A$4,Base!H103=Plans!$C$1),Plans!$C$4,AND(F103=Plans!$A$4,Base!H103=Plans!$D$1),Plans!$D$4,AND(F103=Plans!$A$5,Base!H103=Plans!$B$1),Plans!$B$5,AND(F103=Plans!$A$5,Base!H103=Plans!$C$1),Plans!$C$5,AND(F103=Plans!$A$5,Base!H103=Plans!$D$1),Plans!$D$5)</f>
        <v>24.9</v>
      </c>
      <c r="J103" s="3" t="s">
        <v>145</v>
      </c>
    </row>
    <row r="104" spans="1:10" x14ac:dyDescent="0.35">
      <c r="A104" s="2">
        <v>1426</v>
      </c>
      <c r="B104" s="3" t="s">
        <v>77</v>
      </c>
      <c r="C104" s="3" t="s">
        <v>164</v>
      </c>
      <c r="D104" s="3" t="s">
        <v>132</v>
      </c>
      <c r="E104" s="3" t="s">
        <v>174</v>
      </c>
      <c r="F104" s="3" t="s">
        <v>141</v>
      </c>
      <c r="G104" s="4">
        <v>45733</v>
      </c>
      <c r="H104" s="3" t="s">
        <v>162</v>
      </c>
      <c r="I104" s="9">
        <f>_xlfn.IFS(AND(F104=Plans!$A$2,Base!H104=Plans!$B$1),Plans!$B$2,AND(F104=Plans!$A$2,Base!H104=Plans!$C$1),Plans!$C$2,AND(F104=Plans!$A$2,Base!H104=Plans!$D$1),Plans!$D$2,AND(F104=Plans!$A$3,Base!H104=Plans!$B$1),Plans!$B$3,AND(F104=Plans!$A$3,Base!H104=Plans!$C$1),Plans!$C$3,AND(F104=Plans!$A$3,Base!H104=Plans!$D$1),Plans!$D$3,AND(F104=Plans!$A$4,Base!H104=Plans!$B$1),Plans!$B$4,AND(F104=Plans!$A$4,Base!H104=Plans!$C$1),Plans!$C$4,AND(F104=Plans!$A$4,Base!H104=Plans!$D$1),Plans!$D$4,AND(F104=Plans!$A$5,Base!H104=Plans!$B$1),Plans!$B$5,AND(F104=Plans!$A$5,Base!H104=Plans!$C$1),Plans!$C$5,AND(F104=Plans!$A$5,Base!H104=Plans!$D$1),Plans!$D$5)</f>
        <v>24.9</v>
      </c>
      <c r="J104" s="3" t="s">
        <v>146</v>
      </c>
    </row>
    <row r="105" spans="1:10" x14ac:dyDescent="0.35">
      <c r="A105" s="2">
        <v>1427</v>
      </c>
      <c r="B105" s="3" t="s">
        <v>38</v>
      </c>
      <c r="C105" s="3" t="s">
        <v>165</v>
      </c>
      <c r="D105" s="3" t="s">
        <v>123</v>
      </c>
      <c r="E105" s="3" t="s">
        <v>171</v>
      </c>
      <c r="F105" s="3" t="s">
        <v>142</v>
      </c>
      <c r="G105" s="4">
        <v>45736</v>
      </c>
      <c r="H105" s="3" t="s">
        <v>178</v>
      </c>
      <c r="I105" s="9">
        <f>_xlfn.IFS(AND(F105=Plans!$A$2,Base!H105=Plans!$B$1),Plans!$B$2,AND(F105=Plans!$A$2,Base!H105=Plans!$C$1),Plans!$C$2,AND(F105=Plans!$A$2,Base!H105=Plans!$D$1),Plans!$D$2,AND(F105=Plans!$A$3,Base!H105=Plans!$B$1),Plans!$B$3,AND(F105=Plans!$A$3,Base!H105=Plans!$C$1),Plans!$C$3,AND(F105=Plans!$A$3,Base!H105=Plans!$D$1),Plans!$D$3,AND(F105=Plans!$A$4,Base!H105=Plans!$B$1),Plans!$B$4,AND(F105=Plans!$A$4,Base!H105=Plans!$C$1),Plans!$C$4,AND(F105=Plans!$A$4,Base!H105=Plans!$D$1),Plans!$D$4,AND(F105=Plans!$A$5,Base!H105=Plans!$B$1),Plans!$B$5,AND(F105=Plans!$A$5,Base!H105=Plans!$C$1),Plans!$C$5,AND(F105=Plans!$A$5,Base!H105=Plans!$D$1),Plans!$D$5)</f>
        <v>299.89999999999998</v>
      </c>
      <c r="J105" s="3" t="s">
        <v>152</v>
      </c>
    </row>
    <row r="106" spans="1:10" x14ac:dyDescent="0.35">
      <c r="A106" s="2">
        <v>1428</v>
      </c>
      <c r="B106" s="3" t="s">
        <v>5</v>
      </c>
      <c r="C106" s="3" t="s">
        <v>164</v>
      </c>
      <c r="D106" s="3" t="s">
        <v>120</v>
      </c>
      <c r="E106" s="3" t="s">
        <v>171</v>
      </c>
      <c r="F106" s="3" t="s">
        <v>141</v>
      </c>
      <c r="G106" s="4">
        <v>45739</v>
      </c>
      <c r="H106" s="3" t="s">
        <v>178</v>
      </c>
      <c r="I106" s="9">
        <f>_xlfn.IFS(AND(F106=Plans!$A$2,Base!H106=Plans!$B$1),Plans!$B$2,AND(F106=Plans!$A$2,Base!H106=Plans!$C$1),Plans!$C$2,AND(F106=Plans!$A$2,Base!H106=Plans!$D$1),Plans!$D$2,AND(F106=Plans!$A$3,Base!H106=Plans!$B$1),Plans!$B$3,AND(F106=Plans!$A$3,Base!H106=Plans!$C$1),Plans!$C$3,AND(F106=Plans!$A$3,Base!H106=Plans!$D$1),Plans!$D$3,AND(F106=Plans!$A$4,Base!H106=Plans!$B$1),Plans!$B$4,AND(F106=Plans!$A$4,Base!H106=Plans!$C$1),Plans!$C$4,AND(F106=Plans!$A$4,Base!H106=Plans!$D$1),Plans!$D$4,AND(F106=Plans!$A$5,Base!H106=Plans!$B$1),Plans!$B$5,AND(F106=Plans!$A$5,Base!H106=Plans!$C$1),Plans!$C$5,AND(F106=Plans!$A$5,Base!H106=Plans!$D$1),Plans!$D$5)</f>
        <v>199.9</v>
      </c>
      <c r="J106" s="3" t="s">
        <v>163</v>
      </c>
    </row>
    <row r="107" spans="1:10" x14ac:dyDescent="0.35">
      <c r="A107" s="2">
        <v>1429</v>
      </c>
      <c r="B107" s="3" t="s">
        <v>78</v>
      </c>
      <c r="C107" s="3" t="s">
        <v>164</v>
      </c>
      <c r="D107" s="3" t="s">
        <v>128</v>
      </c>
      <c r="E107" s="3" t="s">
        <v>171</v>
      </c>
      <c r="F107" s="3" t="s">
        <v>140</v>
      </c>
      <c r="G107" s="4">
        <v>45742</v>
      </c>
      <c r="H107" s="3" t="s">
        <v>178</v>
      </c>
      <c r="I107" s="9">
        <f>_xlfn.IFS(AND(F107=Plans!$A$2,Base!H107=Plans!$B$1),Plans!$B$2,AND(F107=Plans!$A$2,Base!H107=Plans!$C$1),Plans!$C$2,AND(F107=Plans!$A$2,Base!H107=Plans!$D$1),Plans!$D$2,AND(F107=Plans!$A$3,Base!H107=Plans!$B$1),Plans!$B$3,AND(F107=Plans!$A$3,Base!H107=Plans!$C$1),Plans!$C$3,AND(F107=Plans!$A$3,Base!H107=Plans!$D$1),Plans!$D$3,AND(F107=Plans!$A$4,Base!H107=Plans!$B$1),Plans!$B$4,AND(F107=Plans!$A$4,Base!H107=Plans!$C$1),Plans!$C$4,AND(F107=Plans!$A$4,Base!H107=Plans!$D$1),Plans!$D$4,AND(F107=Plans!$A$5,Base!H107=Plans!$B$1),Plans!$B$5,AND(F107=Plans!$A$5,Base!H107=Plans!$C$1),Plans!$C$5,AND(F107=Plans!$A$5,Base!H107=Plans!$D$1),Plans!$D$5)</f>
        <v>449.9</v>
      </c>
      <c r="J107" s="3" t="s">
        <v>147</v>
      </c>
    </row>
    <row r="108" spans="1:10" x14ac:dyDescent="0.35">
      <c r="A108" s="2">
        <v>1430</v>
      </c>
      <c r="B108" s="3" t="s">
        <v>79</v>
      </c>
      <c r="C108" s="3" t="s">
        <v>164</v>
      </c>
      <c r="D108" s="3" t="s">
        <v>137</v>
      </c>
      <c r="E108" s="3" t="s">
        <v>170</v>
      </c>
      <c r="F108" s="3" t="s">
        <v>140</v>
      </c>
      <c r="G108" s="4">
        <v>45745</v>
      </c>
      <c r="H108" s="3" t="s">
        <v>178</v>
      </c>
      <c r="I108" s="9">
        <f>_xlfn.IFS(AND(F108=Plans!$A$2,Base!H108=Plans!$B$1),Plans!$B$2,AND(F108=Plans!$A$2,Base!H108=Plans!$C$1),Plans!$C$2,AND(F108=Plans!$A$2,Base!H108=Plans!$D$1),Plans!$D$2,AND(F108=Plans!$A$3,Base!H108=Plans!$B$1),Plans!$B$3,AND(F108=Plans!$A$3,Base!H108=Plans!$C$1),Plans!$C$3,AND(F108=Plans!$A$3,Base!H108=Plans!$D$1),Plans!$D$3,AND(F108=Plans!$A$4,Base!H108=Plans!$B$1),Plans!$B$4,AND(F108=Plans!$A$4,Base!H108=Plans!$C$1),Plans!$C$4,AND(F108=Plans!$A$4,Base!H108=Plans!$D$1),Plans!$D$4,AND(F108=Plans!$A$5,Base!H108=Plans!$B$1),Plans!$B$5,AND(F108=Plans!$A$5,Base!H108=Plans!$C$1),Plans!$C$5,AND(F108=Plans!$A$5,Base!H108=Plans!$D$1),Plans!$D$5)</f>
        <v>449.9</v>
      </c>
      <c r="J108" s="3" t="s">
        <v>149</v>
      </c>
    </row>
    <row r="109" spans="1:10" x14ac:dyDescent="0.35">
      <c r="A109" s="2">
        <v>1431</v>
      </c>
      <c r="B109" s="3" t="s">
        <v>42</v>
      </c>
      <c r="C109" s="3" t="s">
        <v>164</v>
      </c>
      <c r="D109" s="3" t="s">
        <v>131</v>
      </c>
      <c r="E109" s="3" t="s">
        <v>172</v>
      </c>
      <c r="F109" s="3" t="s">
        <v>141</v>
      </c>
      <c r="G109" s="4">
        <v>45749</v>
      </c>
      <c r="H109" s="3" t="s">
        <v>162</v>
      </c>
      <c r="I109" s="9">
        <f>_xlfn.IFS(AND(F109=Plans!$A$2,Base!H109=Plans!$B$1),Plans!$B$2,AND(F109=Plans!$A$2,Base!H109=Plans!$C$1),Plans!$C$2,AND(F109=Plans!$A$2,Base!H109=Plans!$D$1),Plans!$D$2,AND(F109=Plans!$A$3,Base!H109=Plans!$B$1),Plans!$B$3,AND(F109=Plans!$A$3,Base!H109=Plans!$C$1),Plans!$C$3,AND(F109=Plans!$A$3,Base!H109=Plans!$D$1),Plans!$D$3,AND(F109=Plans!$A$4,Base!H109=Plans!$B$1),Plans!$B$4,AND(F109=Plans!$A$4,Base!H109=Plans!$C$1),Plans!$C$4,AND(F109=Plans!$A$4,Base!H109=Plans!$D$1),Plans!$D$4,AND(F109=Plans!$A$5,Base!H109=Plans!$B$1),Plans!$B$5,AND(F109=Plans!$A$5,Base!H109=Plans!$C$1),Plans!$C$5,AND(F109=Plans!$A$5,Base!H109=Plans!$D$1),Plans!$D$5)</f>
        <v>24.9</v>
      </c>
      <c r="J109" s="3" t="s">
        <v>145</v>
      </c>
    </row>
    <row r="110" spans="1:10" x14ac:dyDescent="0.35">
      <c r="A110" s="2">
        <v>1432</v>
      </c>
      <c r="B110" s="3" t="s">
        <v>80</v>
      </c>
      <c r="C110" s="3" t="s">
        <v>165</v>
      </c>
      <c r="D110" s="3" t="s">
        <v>131</v>
      </c>
      <c r="E110" s="3" t="s">
        <v>172</v>
      </c>
      <c r="F110" s="3" t="s">
        <v>141</v>
      </c>
      <c r="G110" s="4">
        <v>45752</v>
      </c>
      <c r="H110" s="3" t="s">
        <v>178</v>
      </c>
      <c r="I110" s="9">
        <f>_xlfn.IFS(AND(F110=Plans!$A$2,Base!H110=Plans!$B$1),Plans!$B$2,AND(F110=Plans!$A$2,Base!H110=Plans!$C$1),Plans!$C$2,AND(F110=Plans!$A$2,Base!H110=Plans!$D$1),Plans!$D$2,AND(F110=Plans!$A$3,Base!H110=Plans!$B$1),Plans!$B$3,AND(F110=Plans!$A$3,Base!H110=Plans!$C$1),Plans!$C$3,AND(F110=Plans!$A$3,Base!H110=Plans!$D$1),Plans!$D$3,AND(F110=Plans!$A$4,Base!H110=Plans!$B$1),Plans!$B$4,AND(F110=Plans!$A$4,Base!H110=Plans!$C$1),Plans!$C$4,AND(F110=Plans!$A$4,Base!H110=Plans!$D$1),Plans!$D$4,AND(F110=Plans!$A$5,Base!H110=Plans!$B$1),Plans!$B$5,AND(F110=Plans!$A$5,Base!H110=Plans!$C$1),Plans!$C$5,AND(F110=Plans!$A$5,Base!H110=Plans!$D$1),Plans!$D$5)</f>
        <v>199.9</v>
      </c>
      <c r="J110" s="3" t="s">
        <v>146</v>
      </c>
    </row>
    <row r="111" spans="1:10" x14ac:dyDescent="0.35">
      <c r="A111" s="2">
        <v>1433</v>
      </c>
      <c r="B111" s="3" t="s">
        <v>27</v>
      </c>
      <c r="C111" s="3" t="s">
        <v>164</v>
      </c>
      <c r="D111" s="3" t="s">
        <v>125</v>
      </c>
      <c r="E111" s="3" t="s">
        <v>173</v>
      </c>
      <c r="F111" s="3" t="s">
        <v>139</v>
      </c>
      <c r="G111" s="4">
        <v>45755</v>
      </c>
      <c r="H111" s="3" t="s">
        <v>161</v>
      </c>
      <c r="I111" s="9">
        <f>_xlfn.IFS(AND(F111=Plans!$A$2,Base!H111=Plans!$B$1),Plans!$B$2,AND(F111=Plans!$A$2,Base!H111=Plans!$C$1),Plans!$C$2,AND(F111=Plans!$A$2,Base!H111=Plans!$D$1),Plans!$D$2,AND(F111=Plans!$A$3,Base!H111=Plans!$B$1),Plans!$B$3,AND(F111=Plans!$A$3,Base!H111=Plans!$C$1),Plans!$C$3,AND(F111=Plans!$A$3,Base!H111=Plans!$D$1),Plans!$D$3,AND(F111=Plans!$A$4,Base!H111=Plans!$B$1),Plans!$B$4,AND(F111=Plans!$A$4,Base!H111=Plans!$C$1),Plans!$C$4,AND(F111=Plans!$A$4,Base!H111=Plans!$D$1),Plans!$D$4,AND(F111=Plans!$A$5,Base!H111=Plans!$B$1),Plans!$B$5,AND(F111=Plans!$A$5,Base!H111=Plans!$C$1),Plans!$C$5,AND(F111=Plans!$A$5,Base!H111=Plans!$D$1),Plans!$D$5)</f>
        <v>489.9</v>
      </c>
      <c r="J111" s="3" t="s">
        <v>143</v>
      </c>
    </row>
    <row r="112" spans="1:10" x14ac:dyDescent="0.35">
      <c r="A112" s="2">
        <v>1434</v>
      </c>
      <c r="B112" s="3" t="s">
        <v>18</v>
      </c>
      <c r="C112" s="3" t="s">
        <v>165</v>
      </c>
      <c r="D112" s="3" t="s">
        <v>128</v>
      </c>
      <c r="E112" s="3" t="s">
        <v>171</v>
      </c>
      <c r="F112" s="3" t="s">
        <v>140</v>
      </c>
      <c r="G112" s="4">
        <v>45758</v>
      </c>
      <c r="H112" s="3" t="s">
        <v>162</v>
      </c>
      <c r="I112" s="9">
        <f>_xlfn.IFS(AND(F112=Plans!$A$2,Base!H112=Plans!$B$1),Plans!$B$2,AND(F112=Plans!$A$2,Base!H112=Plans!$C$1),Plans!$C$2,AND(F112=Plans!$A$2,Base!H112=Plans!$D$1),Plans!$D$2,AND(F112=Plans!$A$3,Base!H112=Plans!$B$1),Plans!$B$3,AND(F112=Plans!$A$3,Base!H112=Plans!$C$1),Plans!$C$3,AND(F112=Plans!$A$3,Base!H112=Plans!$D$1),Plans!$D$3,AND(F112=Plans!$A$4,Base!H112=Plans!$B$1),Plans!$B$4,AND(F112=Plans!$A$4,Base!H112=Plans!$C$1),Plans!$C$4,AND(F112=Plans!$A$4,Base!H112=Plans!$D$1),Plans!$D$4,AND(F112=Plans!$A$5,Base!H112=Plans!$B$1),Plans!$B$5,AND(F112=Plans!$A$5,Base!H112=Plans!$C$1),Plans!$C$5,AND(F112=Plans!$A$5,Base!H112=Plans!$D$1),Plans!$D$5)</f>
        <v>54.9</v>
      </c>
      <c r="J112" s="3" t="s">
        <v>150</v>
      </c>
    </row>
    <row r="113" spans="1:10" x14ac:dyDescent="0.35">
      <c r="A113" s="2">
        <v>1435</v>
      </c>
      <c r="B113" s="3" t="s">
        <v>4</v>
      </c>
      <c r="C113" s="3" t="s">
        <v>164</v>
      </c>
      <c r="D113" s="3" t="s">
        <v>120</v>
      </c>
      <c r="E113" s="3" t="s">
        <v>171</v>
      </c>
      <c r="F113" s="3" t="s">
        <v>139</v>
      </c>
      <c r="G113" s="4">
        <v>45761</v>
      </c>
      <c r="H113" s="3" t="s">
        <v>161</v>
      </c>
      <c r="I113" s="9">
        <f>_xlfn.IFS(AND(F113=Plans!$A$2,Base!H113=Plans!$B$1),Plans!$B$2,AND(F113=Plans!$A$2,Base!H113=Plans!$C$1),Plans!$C$2,AND(F113=Plans!$A$2,Base!H113=Plans!$D$1),Plans!$D$2,AND(F113=Plans!$A$3,Base!H113=Plans!$B$1),Plans!$B$3,AND(F113=Plans!$A$3,Base!H113=Plans!$C$1),Plans!$C$3,AND(F113=Plans!$A$3,Base!H113=Plans!$D$1),Plans!$D$3,AND(F113=Plans!$A$4,Base!H113=Plans!$B$1),Plans!$B$4,AND(F113=Plans!$A$4,Base!H113=Plans!$C$1),Plans!$C$4,AND(F113=Plans!$A$4,Base!H113=Plans!$D$1),Plans!$D$4,AND(F113=Plans!$A$5,Base!H113=Plans!$B$1),Plans!$B$5,AND(F113=Plans!$A$5,Base!H113=Plans!$C$1),Plans!$C$5,AND(F113=Plans!$A$5,Base!H113=Plans!$D$1),Plans!$D$5)</f>
        <v>489.9</v>
      </c>
      <c r="J113" s="3" t="s">
        <v>147</v>
      </c>
    </row>
    <row r="114" spans="1:10" x14ac:dyDescent="0.35">
      <c r="A114" s="2">
        <v>1436</v>
      </c>
      <c r="B114" s="3" t="s">
        <v>81</v>
      </c>
      <c r="C114" s="3" t="s">
        <v>165</v>
      </c>
      <c r="D114" s="3" t="s">
        <v>129</v>
      </c>
      <c r="E114" s="3" t="s">
        <v>171</v>
      </c>
      <c r="F114" s="3" t="s">
        <v>141</v>
      </c>
      <c r="G114" s="4">
        <v>45764</v>
      </c>
      <c r="H114" s="3" t="s">
        <v>178</v>
      </c>
      <c r="I114" s="9">
        <f>_xlfn.IFS(AND(F114=Plans!$A$2,Base!H114=Plans!$B$1),Plans!$B$2,AND(F114=Plans!$A$2,Base!H114=Plans!$C$1),Plans!$C$2,AND(F114=Plans!$A$2,Base!H114=Plans!$D$1),Plans!$D$2,AND(F114=Plans!$A$3,Base!H114=Plans!$B$1),Plans!$B$3,AND(F114=Plans!$A$3,Base!H114=Plans!$C$1),Plans!$C$3,AND(F114=Plans!$A$3,Base!H114=Plans!$D$1),Plans!$D$3,AND(F114=Plans!$A$4,Base!H114=Plans!$B$1),Plans!$B$4,AND(F114=Plans!$A$4,Base!H114=Plans!$C$1),Plans!$C$4,AND(F114=Plans!$A$4,Base!H114=Plans!$D$1),Plans!$D$4,AND(F114=Plans!$A$5,Base!H114=Plans!$B$1),Plans!$B$5,AND(F114=Plans!$A$5,Base!H114=Plans!$C$1),Plans!$C$5,AND(F114=Plans!$A$5,Base!H114=Plans!$D$1),Plans!$D$5)</f>
        <v>199.9</v>
      </c>
      <c r="J114" s="3" t="s">
        <v>145</v>
      </c>
    </row>
    <row r="115" spans="1:10" x14ac:dyDescent="0.35">
      <c r="A115" s="2">
        <v>1437</v>
      </c>
      <c r="B115" s="3" t="s">
        <v>82</v>
      </c>
      <c r="C115" s="3" t="s">
        <v>165</v>
      </c>
      <c r="D115" s="3" t="s">
        <v>131</v>
      </c>
      <c r="E115" s="3" t="s">
        <v>172</v>
      </c>
      <c r="F115" s="3" t="s">
        <v>141</v>
      </c>
      <c r="G115" s="4">
        <v>45767</v>
      </c>
      <c r="H115" s="3" t="s">
        <v>162</v>
      </c>
      <c r="I115" s="9">
        <f>_xlfn.IFS(AND(F115=Plans!$A$2,Base!H115=Plans!$B$1),Plans!$B$2,AND(F115=Plans!$A$2,Base!H115=Plans!$C$1),Plans!$C$2,AND(F115=Plans!$A$2,Base!H115=Plans!$D$1),Plans!$D$2,AND(F115=Plans!$A$3,Base!H115=Plans!$B$1),Plans!$B$3,AND(F115=Plans!$A$3,Base!H115=Plans!$C$1),Plans!$C$3,AND(F115=Plans!$A$3,Base!H115=Plans!$D$1),Plans!$D$3,AND(F115=Plans!$A$4,Base!H115=Plans!$B$1),Plans!$B$4,AND(F115=Plans!$A$4,Base!H115=Plans!$C$1),Plans!$C$4,AND(F115=Plans!$A$4,Base!H115=Plans!$D$1),Plans!$D$4,AND(F115=Plans!$A$5,Base!H115=Plans!$B$1),Plans!$B$5,AND(F115=Plans!$A$5,Base!H115=Plans!$C$1),Plans!$C$5,AND(F115=Plans!$A$5,Base!H115=Plans!$D$1),Plans!$D$5)</f>
        <v>24.9</v>
      </c>
      <c r="J115" s="3" t="s">
        <v>143</v>
      </c>
    </row>
    <row r="116" spans="1:10" x14ac:dyDescent="0.35">
      <c r="A116" s="2">
        <v>1438</v>
      </c>
      <c r="B116" s="3" t="s">
        <v>83</v>
      </c>
      <c r="C116" s="3" t="s">
        <v>164</v>
      </c>
      <c r="D116" s="3" t="s">
        <v>138</v>
      </c>
      <c r="E116" s="3" t="s">
        <v>171</v>
      </c>
      <c r="F116" s="3" t="s">
        <v>141</v>
      </c>
      <c r="G116" s="4">
        <v>45852</v>
      </c>
      <c r="H116" s="3" t="s">
        <v>162</v>
      </c>
      <c r="I116" s="9">
        <f>_xlfn.IFS(AND(F116=Plans!$A$2,Base!H116=Plans!$B$1),Plans!$B$2,AND(F116=Plans!$A$2,Base!H116=Plans!$C$1),Plans!$C$2,AND(F116=Plans!$A$2,Base!H116=Plans!$D$1),Plans!$D$2,AND(F116=Plans!$A$3,Base!H116=Plans!$B$1),Plans!$B$3,AND(F116=Plans!$A$3,Base!H116=Plans!$C$1),Plans!$C$3,AND(F116=Plans!$A$3,Base!H116=Plans!$D$1),Plans!$D$3,AND(F116=Plans!$A$4,Base!H116=Plans!$B$1),Plans!$B$4,AND(F116=Plans!$A$4,Base!H116=Plans!$C$1),Plans!$C$4,AND(F116=Plans!$A$4,Base!H116=Plans!$D$1),Plans!$D$4,AND(F116=Plans!$A$5,Base!H116=Plans!$B$1),Plans!$B$5,AND(F116=Plans!$A$5,Base!H116=Plans!$C$1),Plans!$C$5,AND(F116=Plans!$A$5,Base!H116=Plans!$D$1),Plans!$D$5)</f>
        <v>24.9</v>
      </c>
      <c r="J116" s="3" t="s">
        <v>144</v>
      </c>
    </row>
    <row r="117" spans="1:10" x14ac:dyDescent="0.35">
      <c r="A117" s="2">
        <v>1439</v>
      </c>
      <c r="B117" s="3" t="s">
        <v>84</v>
      </c>
      <c r="C117" s="3" t="s">
        <v>165</v>
      </c>
      <c r="D117" s="3" t="s">
        <v>124</v>
      </c>
      <c r="E117" s="3" t="s">
        <v>170</v>
      </c>
      <c r="F117" s="3" t="s">
        <v>142</v>
      </c>
      <c r="G117" s="4">
        <v>45855</v>
      </c>
      <c r="H117" s="3" t="s">
        <v>178</v>
      </c>
      <c r="I117" s="9">
        <f>_xlfn.IFS(AND(F117=Plans!$A$2,Base!H117=Plans!$B$1),Plans!$B$2,AND(F117=Plans!$A$2,Base!H117=Plans!$C$1),Plans!$C$2,AND(F117=Plans!$A$2,Base!H117=Plans!$D$1),Plans!$D$2,AND(F117=Plans!$A$3,Base!H117=Plans!$B$1),Plans!$B$3,AND(F117=Plans!$A$3,Base!H117=Plans!$C$1),Plans!$C$3,AND(F117=Plans!$A$3,Base!H117=Plans!$D$1),Plans!$D$3,AND(F117=Plans!$A$4,Base!H117=Plans!$B$1),Plans!$B$4,AND(F117=Plans!$A$4,Base!H117=Plans!$C$1),Plans!$C$4,AND(F117=Plans!$A$4,Base!H117=Plans!$D$1),Plans!$D$4,AND(F117=Plans!$A$5,Base!H117=Plans!$B$1),Plans!$B$5,AND(F117=Plans!$A$5,Base!H117=Plans!$C$1),Plans!$C$5,AND(F117=Plans!$A$5,Base!H117=Plans!$D$1),Plans!$D$5)</f>
        <v>299.89999999999998</v>
      </c>
      <c r="J117" s="3" t="s">
        <v>143</v>
      </c>
    </row>
    <row r="118" spans="1:10" x14ac:dyDescent="0.35">
      <c r="A118" s="2">
        <v>1440</v>
      </c>
      <c r="B118" s="3" t="s">
        <v>30</v>
      </c>
      <c r="C118" s="3" t="s">
        <v>164</v>
      </c>
      <c r="D118" s="3" t="s">
        <v>130</v>
      </c>
      <c r="E118" s="3" t="s">
        <v>171</v>
      </c>
      <c r="F118" s="3" t="s">
        <v>142</v>
      </c>
      <c r="G118" s="4">
        <v>45858</v>
      </c>
      <c r="H118" s="3" t="s">
        <v>162</v>
      </c>
      <c r="I118" s="9">
        <f>_xlfn.IFS(AND(F118=Plans!$A$2,Base!H118=Plans!$B$1),Plans!$B$2,AND(F118=Plans!$A$2,Base!H118=Plans!$C$1),Plans!$C$2,AND(F118=Plans!$A$2,Base!H118=Plans!$D$1),Plans!$D$2,AND(F118=Plans!$A$3,Base!H118=Plans!$B$1),Plans!$B$3,AND(F118=Plans!$A$3,Base!H118=Plans!$C$1),Plans!$C$3,AND(F118=Plans!$A$3,Base!H118=Plans!$D$1),Plans!$D$3,AND(F118=Plans!$A$4,Base!H118=Plans!$B$1),Plans!$B$4,AND(F118=Plans!$A$4,Base!H118=Plans!$C$1),Plans!$C$4,AND(F118=Plans!$A$4,Base!H118=Plans!$D$1),Plans!$D$4,AND(F118=Plans!$A$5,Base!H118=Plans!$B$1),Plans!$B$5,AND(F118=Plans!$A$5,Base!H118=Plans!$C$1),Plans!$C$5,AND(F118=Plans!$A$5,Base!H118=Plans!$D$1),Plans!$D$5)</f>
        <v>39.9</v>
      </c>
      <c r="J118" s="3" t="s">
        <v>149</v>
      </c>
    </row>
    <row r="119" spans="1:10" x14ac:dyDescent="0.35">
      <c r="A119" s="2">
        <v>1441</v>
      </c>
      <c r="B119" s="3" t="s">
        <v>85</v>
      </c>
      <c r="C119" s="3" t="s">
        <v>165</v>
      </c>
      <c r="D119" s="3" t="s">
        <v>138</v>
      </c>
      <c r="E119" s="3" t="s">
        <v>171</v>
      </c>
      <c r="F119" s="3" t="s">
        <v>141</v>
      </c>
      <c r="G119" s="4">
        <v>45861</v>
      </c>
      <c r="H119" s="3" t="s">
        <v>162</v>
      </c>
      <c r="I119" s="9">
        <f>_xlfn.IFS(AND(F119=Plans!$A$2,Base!H119=Plans!$B$1),Plans!$B$2,AND(F119=Plans!$A$2,Base!H119=Plans!$C$1),Plans!$C$2,AND(F119=Plans!$A$2,Base!H119=Plans!$D$1),Plans!$D$2,AND(F119=Plans!$A$3,Base!H119=Plans!$B$1),Plans!$B$3,AND(F119=Plans!$A$3,Base!H119=Plans!$C$1),Plans!$C$3,AND(F119=Plans!$A$3,Base!H119=Plans!$D$1),Plans!$D$3,AND(F119=Plans!$A$4,Base!H119=Plans!$B$1),Plans!$B$4,AND(F119=Plans!$A$4,Base!H119=Plans!$C$1),Plans!$C$4,AND(F119=Plans!$A$4,Base!H119=Plans!$D$1),Plans!$D$4,AND(F119=Plans!$A$5,Base!H119=Plans!$B$1),Plans!$B$5,AND(F119=Plans!$A$5,Base!H119=Plans!$C$1),Plans!$C$5,AND(F119=Plans!$A$5,Base!H119=Plans!$D$1),Plans!$D$5)</f>
        <v>24.9</v>
      </c>
      <c r="J119" s="3" t="s">
        <v>147</v>
      </c>
    </row>
    <row r="120" spans="1:10" x14ac:dyDescent="0.35">
      <c r="A120" s="2">
        <v>1442</v>
      </c>
      <c r="B120" s="3" t="s">
        <v>71</v>
      </c>
      <c r="C120" s="3" t="s">
        <v>164</v>
      </c>
      <c r="D120" s="3" t="s">
        <v>129</v>
      </c>
      <c r="E120" s="3" t="s">
        <v>171</v>
      </c>
      <c r="F120" s="3" t="s">
        <v>142</v>
      </c>
      <c r="G120" s="4">
        <v>45864</v>
      </c>
      <c r="H120" s="3" t="s">
        <v>178</v>
      </c>
      <c r="I120" s="9">
        <f>_xlfn.IFS(AND(F120=Plans!$A$2,Base!H120=Plans!$B$1),Plans!$B$2,AND(F120=Plans!$A$2,Base!H120=Plans!$C$1),Plans!$C$2,AND(F120=Plans!$A$2,Base!H120=Plans!$D$1),Plans!$D$2,AND(F120=Plans!$A$3,Base!H120=Plans!$B$1),Plans!$B$3,AND(F120=Plans!$A$3,Base!H120=Plans!$C$1),Plans!$C$3,AND(F120=Plans!$A$3,Base!H120=Plans!$D$1),Plans!$D$3,AND(F120=Plans!$A$4,Base!H120=Plans!$B$1),Plans!$B$4,AND(F120=Plans!$A$4,Base!H120=Plans!$C$1),Plans!$C$4,AND(F120=Plans!$A$4,Base!H120=Plans!$D$1),Plans!$D$4,AND(F120=Plans!$A$5,Base!H120=Plans!$B$1),Plans!$B$5,AND(F120=Plans!$A$5,Base!H120=Plans!$C$1),Plans!$C$5,AND(F120=Plans!$A$5,Base!H120=Plans!$D$1),Plans!$D$5)</f>
        <v>299.89999999999998</v>
      </c>
      <c r="J120" s="3" t="s">
        <v>143</v>
      </c>
    </row>
    <row r="121" spans="1:10" x14ac:dyDescent="0.35">
      <c r="A121" s="2">
        <v>1443</v>
      </c>
      <c r="B121" s="3" t="s">
        <v>13</v>
      </c>
      <c r="C121" s="3" t="s">
        <v>165</v>
      </c>
      <c r="D121" s="3" t="s">
        <v>126</v>
      </c>
      <c r="E121" s="3" t="s">
        <v>172</v>
      </c>
      <c r="F121" s="3" t="s">
        <v>142</v>
      </c>
      <c r="G121" s="4">
        <v>45867</v>
      </c>
      <c r="H121" s="3" t="s">
        <v>178</v>
      </c>
      <c r="I121" s="9">
        <f>_xlfn.IFS(AND(F121=Plans!$A$2,Base!H121=Plans!$B$1),Plans!$B$2,AND(F121=Plans!$A$2,Base!H121=Plans!$C$1),Plans!$C$2,AND(F121=Plans!$A$2,Base!H121=Plans!$D$1),Plans!$D$2,AND(F121=Plans!$A$3,Base!H121=Plans!$B$1),Plans!$B$3,AND(F121=Plans!$A$3,Base!H121=Plans!$C$1),Plans!$C$3,AND(F121=Plans!$A$3,Base!H121=Plans!$D$1),Plans!$D$3,AND(F121=Plans!$A$4,Base!H121=Plans!$B$1),Plans!$B$4,AND(F121=Plans!$A$4,Base!H121=Plans!$C$1),Plans!$C$4,AND(F121=Plans!$A$4,Base!H121=Plans!$D$1),Plans!$D$4,AND(F121=Plans!$A$5,Base!H121=Plans!$B$1),Plans!$B$5,AND(F121=Plans!$A$5,Base!H121=Plans!$C$1),Plans!$C$5,AND(F121=Plans!$A$5,Base!H121=Plans!$D$1),Plans!$D$5)</f>
        <v>299.89999999999998</v>
      </c>
      <c r="J121" s="3" t="s">
        <v>146</v>
      </c>
    </row>
    <row r="122" spans="1:10" x14ac:dyDescent="0.35">
      <c r="A122" s="2">
        <v>1444</v>
      </c>
      <c r="B122" s="3" t="s">
        <v>86</v>
      </c>
      <c r="C122" s="3" t="s">
        <v>165</v>
      </c>
      <c r="D122" s="3" t="s">
        <v>121</v>
      </c>
      <c r="E122" s="3" t="s">
        <v>172</v>
      </c>
      <c r="F122" s="3" t="s">
        <v>141</v>
      </c>
      <c r="G122" s="4">
        <v>45870</v>
      </c>
      <c r="H122" s="3" t="s">
        <v>162</v>
      </c>
      <c r="I122" s="9">
        <f>_xlfn.IFS(AND(F122=Plans!$A$2,Base!H122=Plans!$B$1),Plans!$B$2,AND(F122=Plans!$A$2,Base!H122=Plans!$C$1),Plans!$C$2,AND(F122=Plans!$A$2,Base!H122=Plans!$D$1),Plans!$D$2,AND(F122=Plans!$A$3,Base!H122=Plans!$B$1),Plans!$B$3,AND(F122=Plans!$A$3,Base!H122=Plans!$C$1),Plans!$C$3,AND(F122=Plans!$A$3,Base!H122=Plans!$D$1),Plans!$D$3,AND(F122=Plans!$A$4,Base!H122=Plans!$B$1),Plans!$B$4,AND(F122=Plans!$A$4,Base!H122=Plans!$C$1),Plans!$C$4,AND(F122=Plans!$A$4,Base!H122=Plans!$D$1),Plans!$D$4,AND(F122=Plans!$A$5,Base!H122=Plans!$B$1),Plans!$B$5,AND(F122=Plans!$A$5,Base!H122=Plans!$C$1),Plans!$C$5,AND(F122=Plans!$A$5,Base!H122=Plans!$D$1),Plans!$D$5)</f>
        <v>24.9</v>
      </c>
      <c r="J122" s="3" t="s">
        <v>149</v>
      </c>
    </row>
    <row r="123" spans="1:10" x14ac:dyDescent="0.35">
      <c r="A123" s="2">
        <v>1445</v>
      </c>
      <c r="B123" s="3" t="s">
        <v>87</v>
      </c>
      <c r="C123" s="3" t="s">
        <v>165</v>
      </c>
      <c r="D123" s="3" t="s">
        <v>130</v>
      </c>
      <c r="E123" s="3" t="s">
        <v>171</v>
      </c>
      <c r="F123" s="3" t="s">
        <v>140</v>
      </c>
      <c r="G123" s="4">
        <v>45873</v>
      </c>
      <c r="H123" s="3" t="s">
        <v>161</v>
      </c>
      <c r="I123" s="9">
        <f>_xlfn.IFS(AND(F123=Plans!$A$2,Base!H123=Plans!$B$1),Plans!$B$2,AND(F123=Plans!$A$2,Base!H123=Plans!$C$1),Plans!$C$2,AND(F123=Plans!$A$2,Base!H123=Plans!$D$1),Plans!$D$2,AND(F123=Plans!$A$3,Base!H123=Plans!$B$1),Plans!$B$3,AND(F123=Plans!$A$3,Base!H123=Plans!$C$1),Plans!$C$3,AND(F123=Plans!$A$3,Base!H123=Plans!$D$1),Plans!$D$3,AND(F123=Plans!$A$4,Base!H123=Plans!$B$1),Plans!$B$4,AND(F123=Plans!$A$4,Base!H123=Plans!$C$1),Plans!$C$4,AND(F123=Plans!$A$4,Base!H123=Plans!$D$1),Plans!$D$4,AND(F123=Plans!$A$5,Base!H123=Plans!$B$1),Plans!$B$5,AND(F123=Plans!$A$5,Base!H123=Plans!$C$1),Plans!$C$5,AND(F123=Plans!$A$5,Base!H123=Plans!$D$1),Plans!$D$5)</f>
        <v>349.9</v>
      </c>
      <c r="J123" s="3" t="s">
        <v>148</v>
      </c>
    </row>
    <row r="124" spans="1:10" x14ac:dyDescent="0.35">
      <c r="A124" s="2">
        <v>1446</v>
      </c>
      <c r="B124" s="3" t="s">
        <v>88</v>
      </c>
      <c r="C124" s="3" t="s">
        <v>165</v>
      </c>
      <c r="D124" s="3" t="s">
        <v>135</v>
      </c>
      <c r="E124" s="3" t="s">
        <v>172</v>
      </c>
      <c r="F124" s="3" t="s">
        <v>141</v>
      </c>
      <c r="G124" s="4">
        <v>45876</v>
      </c>
      <c r="H124" s="3" t="s">
        <v>162</v>
      </c>
      <c r="I124" s="9">
        <f>_xlfn.IFS(AND(F124=Plans!$A$2,Base!H124=Plans!$B$1),Plans!$B$2,AND(F124=Plans!$A$2,Base!H124=Plans!$C$1),Plans!$C$2,AND(F124=Plans!$A$2,Base!H124=Plans!$D$1),Plans!$D$2,AND(F124=Plans!$A$3,Base!H124=Plans!$B$1),Plans!$B$3,AND(F124=Plans!$A$3,Base!H124=Plans!$C$1),Plans!$C$3,AND(F124=Plans!$A$3,Base!H124=Plans!$D$1),Plans!$D$3,AND(F124=Plans!$A$4,Base!H124=Plans!$B$1),Plans!$B$4,AND(F124=Plans!$A$4,Base!H124=Plans!$C$1),Plans!$C$4,AND(F124=Plans!$A$4,Base!H124=Plans!$D$1),Plans!$D$4,AND(F124=Plans!$A$5,Base!H124=Plans!$B$1),Plans!$B$5,AND(F124=Plans!$A$5,Base!H124=Plans!$C$1),Plans!$C$5,AND(F124=Plans!$A$5,Base!H124=Plans!$D$1),Plans!$D$5)</f>
        <v>24.9</v>
      </c>
      <c r="J124" s="3" t="s">
        <v>147</v>
      </c>
    </row>
    <row r="125" spans="1:10" x14ac:dyDescent="0.35">
      <c r="A125" s="2">
        <v>1447</v>
      </c>
      <c r="B125" s="3" t="s">
        <v>20</v>
      </c>
      <c r="C125" s="3" t="s">
        <v>165</v>
      </c>
      <c r="D125" s="3" t="s">
        <v>128</v>
      </c>
      <c r="E125" s="3" t="s">
        <v>171</v>
      </c>
      <c r="F125" s="3" t="s">
        <v>141</v>
      </c>
      <c r="G125" s="4">
        <v>45879</v>
      </c>
      <c r="H125" s="3" t="s">
        <v>162</v>
      </c>
      <c r="I125" s="9">
        <f>_xlfn.IFS(AND(F125=Plans!$A$2,Base!H125=Plans!$B$1),Plans!$B$2,AND(F125=Plans!$A$2,Base!H125=Plans!$C$1),Plans!$C$2,AND(F125=Plans!$A$2,Base!H125=Plans!$D$1),Plans!$D$2,AND(F125=Plans!$A$3,Base!H125=Plans!$B$1),Plans!$B$3,AND(F125=Plans!$A$3,Base!H125=Plans!$C$1),Plans!$C$3,AND(F125=Plans!$A$3,Base!H125=Plans!$D$1),Plans!$D$3,AND(F125=Plans!$A$4,Base!H125=Plans!$B$1),Plans!$B$4,AND(F125=Plans!$A$4,Base!H125=Plans!$C$1),Plans!$C$4,AND(F125=Plans!$A$4,Base!H125=Plans!$D$1),Plans!$D$4,AND(F125=Plans!$A$5,Base!H125=Plans!$B$1),Plans!$B$5,AND(F125=Plans!$A$5,Base!H125=Plans!$C$1),Plans!$C$5,AND(F125=Plans!$A$5,Base!H125=Plans!$D$1),Plans!$D$5)</f>
        <v>24.9</v>
      </c>
      <c r="J125" s="3" t="s">
        <v>143</v>
      </c>
    </row>
    <row r="126" spans="1:10" x14ac:dyDescent="0.35">
      <c r="A126" s="2">
        <v>1448</v>
      </c>
      <c r="B126" s="3" t="s">
        <v>46</v>
      </c>
      <c r="C126" s="3" t="s">
        <v>165</v>
      </c>
      <c r="D126" s="3" t="s">
        <v>122</v>
      </c>
      <c r="E126" s="3" t="s">
        <v>170</v>
      </c>
      <c r="F126" s="3" t="s">
        <v>140</v>
      </c>
      <c r="G126" s="4">
        <v>45882</v>
      </c>
      <c r="H126" s="3" t="s">
        <v>161</v>
      </c>
      <c r="I126" s="9">
        <f>_xlfn.IFS(AND(F126=Plans!$A$2,Base!H126=Plans!$B$1),Plans!$B$2,AND(F126=Plans!$A$2,Base!H126=Plans!$C$1),Plans!$C$2,AND(F126=Plans!$A$2,Base!H126=Plans!$D$1),Plans!$D$2,AND(F126=Plans!$A$3,Base!H126=Plans!$B$1),Plans!$B$3,AND(F126=Plans!$A$3,Base!H126=Plans!$C$1),Plans!$C$3,AND(F126=Plans!$A$3,Base!H126=Plans!$D$1),Plans!$D$3,AND(F126=Plans!$A$4,Base!H126=Plans!$B$1),Plans!$B$4,AND(F126=Plans!$A$4,Base!H126=Plans!$C$1),Plans!$C$4,AND(F126=Plans!$A$4,Base!H126=Plans!$D$1),Plans!$D$4,AND(F126=Plans!$A$5,Base!H126=Plans!$B$1),Plans!$B$5,AND(F126=Plans!$A$5,Base!H126=Plans!$C$1),Plans!$C$5,AND(F126=Plans!$A$5,Base!H126=Plans!$D$1),Plans!$D$5)</f>
        <v>349.9</v>
      </c>
      <c r="J126" s="3" t="s">
        <v>150</v>
      </c>
    </row>
    <row r="127" spans="1:10" x14ac:dyDescent="0.35">
      <c r="A127" s="2">
        <v>1449</v>
      </c>
      <c r="B127" s="3" t="s">
        <v>89</v>
      </c>
      <c r="C127" s="3" t="s">
        <v>165</v>
      </c>
      <c r="D127" s="3" t="s">
        <v>120</v>
      </c>
      <c r="E127" s="3" t="s">
        <v>171</v>
      </c>
      <c r="F127" s="3" t="s">
        <v>140</v>
      </c>
      <c r="G127" s="4">
        <v>45885</v>
      </c>
      <c r="H127" s="3" t="s">
        <v>161</v>
      </c>
      <c r="I127" s="9">
        <f>_xlfn.IFS(AND(F127=Plans!$A$2,Base!H127=Plans!$B$1),Plans!$B$2,AND(F127=Plans!$A$2,Base!H127=Plans!$C$1),Plans!$C$2,AND(F127=Plans!$A$2,Base!H127=Plans!$D$1),Plans!$D$2,AND(F127=Plans!$A$3,Base!H127=Plans!$B$1),Plans!$B$3,AND(F127=Plans!$A$3,Base!H127=Plans!$C$1),Plans!$C$3,AND(F127=Plans!$A$3,Base!H127=Plans!$D$1),Plans!$D$3,AND(F127=Plans!$A$4,Base!H127=Plans!$B$1),Plans!$B$4,AND(F127=Plans!$A$4,Base!H127=Plans!$C$1),Plans!$C$4,AND(F127=Plans!$A$4,Base!H127=Plans!$D$1),Plans!$D$4,AND(F127=Plans!$A$5,Base!H127=Plans!$B$1),Plans!$B$5,AND(F127=Plans!$A$5,Base!H127=Plans!$C$1),Plans!$C$5,AND(F127=Plans!$A$5,Base!H127=Plans!$D$1),Plans!$D$5)</f>
        <v>349.9</v>
      </c>
      <c r="J127" s="3" t="s">
        <v>149</v>
      </c>
    </row>
    <row r="128" spans="1:10" x14ac:dyDescent="0.35">
      <c r="A128" s="2">
        <v>1450</v>
      </c>
      <c r="B128" s="3" t="s">
        <v>69</v>
      </c>
      <c r="C128" s="3" t="s">
        <v>164</v>
      </c>
      <c r="D128" s="3" t="s">
        <v>136</v>
      </c>
      <c r="E128" s="3" t="s">
        <v>173</v>
      </c>
      <c r="F128" s="3" t="s">
        <v>139</v>
      </c>
      <c r="G128" s="4">
        <v>45889</v>
      </c>
      <c r="H128" s="3" t="s">
        <v>162</v>
      </c>
      <c r="I128" s="9">
        <f>_xlfn.IFS(AND(F128=Plans!$A$2,Base!H128=Plans!$B$1),Plans!$B$2,AND(F128=Plans!$A$2,Base!H128=Plans!$C$1),Plans!$C$2,AND(F128=Plans!$A$2,Base!H128=Plans!$D$1),Plans!$D$2,AND(F128=Plans!$A$3,Base!H128=Plans!$B$1),Plans!$B$3,AND(F128=Plans!$A$3,Base!H128=Plans!$C$1),Plans!$C$3,AND(F128=Plans!$A$3,Base!H128=Plans!$D$1),Plans!$D$3,AND(F128=Plans!$A$4,Base!H128=Plans!$B$1),Plans!$B$4,AND(F128=Plans!$A$4,Base!H128=Plans!$C$1),Plans!$C$4,AND(F128=Plans!$A$4,Base!H128=Plans!$D$1),Plans!$D$4,AND(F128=Plans!$A$5,Base!H128=Plans!$B$1),Plans!$B$5,AND(F128=Plans!$A$5,Base!H128=Plans!$C$1),Plans!$C$5,AND(F128=Plans!$A$5,Base!H128=Plans!$D$1),Plans!$D$5)</f>
        <v>74.900000000000006</v>
      </c>
      <c r="J128" s="3" t="s">
        <v>144</v>
      </c>
    </row>
    <row r="129" spans="1:10" x14ac:dyDescent="0.35">
      <c r="A129" s="2">
        <v>1451</v>
      </c>
      <c r="B129" s="3" t="s">
        <v>63</v>
      </c>
      <c r="C129" s="3" t="s">
        <v>166</v>
      </c>
      <c r="D129" s="3" t="s">
        <v>121</v>
      </c>
      <c r="E129" s="3" t="s">
        <v>172</v>
      </c>
      <c r="F129" s="3" t="s">
        <v>140</v>
      </c>
      <c r="G129" s="4">
        <v>45892</v>
      </c>
      <c r="H129" s="3" t="s">
        <v>178</v>
      </c>
      <c r="I129" s="9">
        <f>_xlfn.IFS(AND(F129=Plans!$A$2,Base!H129=Plans!$B$1),Plans!$B$2,AND(F129=Plans!$A$2,Base!H129=Plans!$C$1),Plans!$C$2,AND(F129=Plans!$A$2,Base!H129=Plans!$D$1),Plans!$D$2,AND(F129=Plans!$A$3,Base!H129=Plans!$B$1),Plans!$B$3,AND(F129=Plans!$A$3,Base!H129=Plans!$C$1),Plans!$C$3,AND(F129=Plans!$A$3,Base!H129=Plans!$D$1),Plans!$D$3,AND(F129=Plans!$A$4,Base!H129=Plans!$B$1),Plans!$B$4,AND(F129=Plans!$A$4,Base!H129=Plans!$C$1),Plans!$C$4,AND(F129=Plans!$A$4,Base!H129=Plans!$D$1),Plans!$D$4,AND(F129=Plans!$A$5,Base!H129=Plans!$B$1),Plans!$B$5,AND(F129=Plans!$A$5,Base!H129=Plans!$C$1),Plans!$C$5,AND(F129=Plans!$A$5,Base!H129=Plans!$D$1),Plans!$D$5)</f>
        <v>449.9</v>
      </c>
      <c r="J129" s="3" t="s">
        <v>146</v>
      </c>
    </row>
    <row r="130" spans="1:10" x14ac:dyDescent="0.35">
      <c r="A130" s="2">
        <v>1452</v>
      </c>
      <c r="B130" s="3" t="s">
        <v>79</v>
      </c>
      <c r="C130" s="3" t="s">
        <v>164</v>
      </c>
      <c r="D130" s="3" t="s">
        <v>136</v>
      </c>
      <c r="E130" s="3" t="s">
        <v>173</v>
      </c>
      <c r="F130" s="3" t="s">
        <v>139</v>
      </c>
      <c r="G130" s="4">
        <v>45895</v>
      </c>
      <c r="H130" s="3" t="s">
        <v>162</v>
      </c>
      <c r="I130" s="9">
        <f>_xlfn.IFS(AND(F130=Plans!$A$2,Base!H130=Plans!$B$1),Plans!$B$2,AND(F130=Plans!$A$2,Base!H130=Plans!$C$1),Plans!$C$2,AND(F130=Plans!$A$2,Base!H130=Plans!$D$1),Plans!$D$2,AND(F130=Plans!$A$3,Base!H130=Plans!$B$1),Plans!$B$3,AND(F130=Plans!$A$3,Base!H130=Plans!$C$1),Plans!$C$3,AND(F130=Plans!$A$3,Base!H130=Plans!$D$1),Plans!$D$3,AND(F130=Plans!$A$4,Base!H130=Plans!$B$1),Plans!$B$4,AND(F130=Plans!$A$4,Base!H130=Plans!$C$1),Plans!$C$4,AND(F130=Plans!$A$4,Base!H130=Plans!$D$1),Plans!$D$4,AND(F130=Plans!$A$5,Base!H130=Plans!$B$1),Plans!$B$5,AND(F130=Plans!$A$5,Base!H130=Plans!$C$1),Plans!$C$5,AND(F130=Plans!$A$5,Base!H130=Plans!$D$1),Plans!$D$5)</f>
        <v>74.900000000000006</v>
      </c>
      <c r="J130" s="3" t="s">
        <v>144</v>
      </c>
    </row>
    <row r="131" spans="1:10" x14ac:dyDescent="0.35">
      <c r="A131" s="2">
        <v>1453</v>
      </c>
      <c r="B131" s="3" t="s">
        <v>90</v>
      </c>
      <c r="C131" s="3" t="s">
        <v>165</v>
      </c>
      <c r="D131" s="3" t="s">
        <v>132</v>
      </c>
      <c r="E131" s="3" t="s">
        <v>174</v>
      </c>
      <c r="F131" s="3" t="s">
        <v>141</v>
      </c>
      <c r="G131" s="4">
        <v>45727</v>
      </c>
      <c r="H131" s="3" t="s">
        <v>162</v>
      </c>
      <c r="I131" s="9">
        <f>_xlfn.IFS(AND(F131=Plans!$A$2,Base!H131=Plans!$B$1),Plans!$B$2,AND(F131=Plans!$A$2,Base!H131=Plans!$C$1),Plans!$C$2,AND(F131=Plans!$A$2,Base!H131=Plans!$D$1),Plans!$D$2,AND(F131=Plans!$A$3,Base!H131=Plans!$B$1),Plans!$B$3,AND(F131=Plans!$A$3,Base!H131=Plans!$C$1),Plans!$C$3,AND(F131=Plans!$A$3,Base!H131=Plans!$D$1),Plans!$D$3,AND(F131=Plans!$A$4,Base!H131=Plans!$B$1),Plans!$B$4,AND(F131=Plans!$A$4,Base!H131=Plans!$C$1),Plans!$C$4,AND(F131=Plans!$A$4,Base!H131=Plans!$D$1),Plans!$D$4,AND(F131=Plans!$A$5,Base!H131=Plans!$B$1),Plans!$B$5,AND(F131=Plans!$A$5,Base!H131=Plans!$C$1),Plans!$C$5,AND(F131=Plans!$A$5,Base!H131=Plans!$D$1),Plans!$D$5)</f>
        <v>24.9</v>
      </c>
      <c r="J131" s="3" t="s">
        <v>145</v>
      </c>
    </row>
    <row r="132" spans="1:10" x14ac:dyDescent="0.35">
      <c r="A132" s="2">
        <v>1454</v>
      </c>
      <c r="B132" s="3" t="s">
        <v>91</v>
      </c>
      <c r="C132" s="3" t="s">
        <v>164</v>
      </c>
      <c r="D132" s="3" t="s">
        <v>126</v>
      </c>
      <c r="E132" s="3" t="s">
        <v>172</v>
      </c>
      <c r="F132" s="3" t="s">
        <v>140</v>
      </c>
      <c r="G132" s="4">
        <v>45730</v>
      </c>
      <c r="H132" s="3" t="s">
        <v>161</v>
      </c>
      <c r="I132" s="9">
        <f>_xlfn.IFS(AND(F132=Plans!$A$2,Base!H132=Plans!$B$1),Plans!$B$2,AND(F132=Plans!$A$2,Base!H132=Plans!$C$1),Plans!$C$2,AND(F132=Plans!$A$2,Base!H132=Plans!$D$1),Plans!$D$2,AND(F132=Plans!$A$3,Base!H132=Plans!$B$1),Plans!$B$3,AND(F132=Plans!$A$3,Base!H132=Plans!$C$1),Plans!$C$3,AND(F132=Plans!$A$3,Base!H132=Plans!$D$1),Plans!$D$3,AND(F132=Plans!$A$4,Base!H132=Plans!$B$1),Plans!$B$4,AND(F132=Plans!$A$4,Base!H132=Plans!$C$1),Plans!$C$4,AND(F132=Plans!$A$4,Base!H132=Plans!$D$1),Plans!$D$4,AND(F132=Plans!$A$5,Base!H132=Plans!$B$1),Plans!$B$5,AND(F132=Plans!$A$5,Base!H132=Plans!$C$1),Plans!$C$5,AND(F132=Plans!$A$5,Base!H132=Plans!$D$1),Plans!$D$5)</f>
        <v>349.9</v>
      </c>
      <c r="J132" s="3" t="s">
        <v>152</v>
      </c>
    </row>
    <row r="133" spans="1:10" x14ac:dyDescent="0.35">
      <c r="A133" s="2">
        <v>1455</v>
      </c>
      <c r="B133" s="3" t="s">
        <v>92</v>
      </c>
      <c r="C133" s="3" t="s">
        <v>165</v>
      </c>
      <c r="D133" s="3" t="s">
        <v>125</v>
      </c>
      <c r="E133" s="3" t="s">
        <v>173</v>
      </c>
      <c r="F133" s="3" t="s">
        <v>142</v>
      </c>
      <c r="G133" s="4">
        <v>45733</v>
      </c>
      <c r="H133" s="3" t="s">
        <v>178</v>
      </c>
      <c r="I133" s="9">
        <f>_xlfn.IFS(AND(F133=Plans!$A$2,Base!H133=Plans!$B$1),Plans!$B$2,AND(F133=Plans!$A$2,Base!H133=Plans!$C$1),Plans!$C$2,AND(F133=Plans!$A$2,Base!H133=Plans!$D$1),Plans!$D$2,AND(F133=Plans!$A$3,Base!H133=Plans!$B$1),Plans!$B$3,AND(F133=Plans!$A$3,Base!H133=Plans!$C$1),Plans!$C$3,AND(F133=Plans!$A$3,Base!H133=Plans!$D$1),Plans!$D$3,AND(F133=Plans!$A$4,Base!H133=Plans!$B$1),Plans!$B$4,AND(F133=Plans!$A$4,Base!H133=Plans!$C$1),Plans!$C$4,AND(F133=Plans!$A$4,Base!H133=Plans!$D$1),Plans!$D$4,AND(F133=Plans!$A$5,Base!H133=Plans!$B$1),Plans!$B$5,AND(F133=Plans!$A$5,Base!H133=Plans!$C$1),Plans!$C$5,AND(F133=Plans!$A$5,Base!H133=Plans!$D$1),Plans!$D$5)</f>
        <v>299.89999999999998</v>
      </c>
      <c r="J133" s="3" t="s">
        <v>146</v>
      </c>
    </row>
    <row r="134" spans="1:10" x14ac:dyDescent="0.35">
      <c r="A134" s="2">
        <v>1456</v>
      </c>
      <c r="B134" s="3" t="s">
        <v>8</v>
      </c>
      <c r="C134" s="3" t="s">
        <v>165</v>
      </c>
      <c r="D134" s="3" t="s">
        <v>127</v>
      </c>
      <c r="E134" s="3" t="s">
        <v>171</v>
      </c>
      <c r="F134" s="3" t="s">
        <v>140</v>
      </c>
      <c r="G134" s="4">
        <v>45736</v>
      </c>
      <c r="H134" s="3" t="s">
        <v>161</v>
      </c>
      <c r="I134" s="9">
        <f>_xlfn.IFS(AND(F134=Plans!$A$2,Base!H134=Plans!$B$1),Plans!$B$2,AND(F134=Plans!$A$2,Base!H134=Plans!$C$1),Plans!$C$2,AND(F134=Plans!$A$2,Base!H134=Plans!$D$1),Plans!$D$2,AND(F134=Plans!$A$3,Base!H134=Plans!$B$1),Plans!$B$3,AND(F134=Plans!$A$3,Base!H134=Plans!$C$1),Plans!$C$3,AND(F134=Plans!$A$3,Base!H134=Plans!$D$1),Plans!$D$3,AND(F134=Plans!$A$4,Base!H134=Plans!$B$1),Plans!$B$4,AND(F134=Plans!$A$4,Base!H134=Plans!$C$1),Plans!$C$4,AND(F134=Plans!$A$4,Base!H134=Plans!$D$1),Plans!$D$4,AND(F134=Plans!$A$5,Base!H134=Plans!$B$1),Plans!$B$5,AND(F134=Plans!$A$5,Base!H134=Plans!$C$1),Plans!$C$5,AND(F134=Plans!$A$5,Base!H134=Plans!$D$1),Plans!$D$5)</f>
        <v>349.9</v>
      </c>
      <c r="J134" s="3" t="s">
        <v>147</v>
      </c>
    </row>
    <row r="135" spans="1:10" x14ac:dyDescent="0.35">
      <c r="A135" s="2">
        <v>1457</v>
      </c>
      <c r="B135" s="3" t="s">
        <v>53</v>
      </c>
      <c r="C135" s="3" t="s">
        <v>165</v>
      </c>
      <c r="D135" s="3" t="s">
        <v>123</v>
      </c>
      <c r="E135" s="3" t="s">
        <v>171</v>
      </c>
      <c r="F135" s="3" t="s">
        <v>140</v>
      </c>
      <c r="G135" s="4">
        <v>45739</v>
      </c>
      <c r="H135" s="3" t="s">
        <v>178</v>
      </c>
      <c r="I135" s="9">
        <f>_xlfn.IFS(AND(F135=Plans!$A$2,Base!H135=Plans!$B$1),Plans!$B$2,AND(F135=Plans!$A$2,Base!H135=Plans!$C$1),Plans!$C$2,AND(F135=Plans!$A$2,Base!H135=Plans!$D$1),Plans!$D$2,AND(F135=Plans!$A$3,Base!H135=Plans!$B$1),Plans!$B$3,AND(F135=Plans!$A$3,Base!H135=Plans!$C$1),Plans!$C$3,AND(F135=Plans!$A$3,Base!H135=Plans!$D$1),Plans!$D$3,AND(F135=Plans!$A$4,Base!H135=Plans!$B$1),Plans!$B$4,AND(F135=Plans!$A$4,Base!H135=Plans!$C$1),Plans!$C$4,AND(F135=Plans!$A$4,Base!H135=Plans!$D$1),Plans!$D$4,AND(F135=Plans!$A$5,Base!H135=Plans!$B$1),Plans!$B$5,AND(F135=Plans!$A$5,Base!H135=Plans!$C$1),Plans!$C$5,AND(F135=Plans!$A$5,Base!H135=Plans!$D$1),Plans!$D$5)</f>
        <v>449.9</v>
      </c>
      <c r="J135" s="3" t="s">
        <v>145</v>
      </c>
    </row>
    <row r="136" spans="1:10" x14ac:dyDescent="0.35">
      <c r="A136" s="2">
        <v>1458</v>
      </c>
      <c r="B136" s="3" t="s">
        <v>93</v>
      </c>
      <c r="C136" s="3" t="s">
        <v>164</v>
      </c>
      <c r="D136" s="3" t="s">
        <v>129</v>
      </c>
      <c r="E136" s="3" t="s">
        <v>171</v>
      </c>
      <c r="F136" s="3" t="s">
        <v>141</v>
      </c>
      <c r="G136" s="4">
        <v>45742</v>
      </c>
      <c r="H136" s="3" t="s">
        <v>162</v>
      </c>
      <c r="I136" s="9">
        <f>_xlfn.IFS(AND(F136=Plans!$A$2,Base!H136=Plans!$B$1),Plans!$B$2,AND(F136=Plans!$A$2,Base!H136=Plans!$C$1),Plans!$C$2,AND(F136=Plans!$A$2,Base!H136=Plans!$D$1),Plans!$D$2,AND(F136=Plans!$A$3,Base!H136=Plans!$B$1),Plans!$B$3,AND(F136=Plans!$A$3,Base!H136=Plans!$C$1),Plans!$C$3,AND(F136=Plans!$A$3,Base!H136=Plans!$D$1),Plans!$D$3,AND(F136=Plans!$A$4,Base!H136=Plans!$B$1),Plans!$B$4,AND(F136=Plans!$A$4,Base!H136=Plans!$C$1),Plans!$C$4,AND(F136=Plans!$A$4,Base!H136=Plans!$D$1),Plans!$D$4,AND(F136=Plans!$A$5,Base!H136=Plans!$B$1),Plans!$B$5,AND(F136=Plans!$A$5,Base!H136=Plans!$C$1),Plans!$C$5,AND(F136=Plans!$A$5,Base!H136=Plans!$D$1),Plans!$D$5)</f>
        <v>24.9</v>
      </c>
      <c r="J136" s="3" t="s">
        <v>152</v>
      </c>
    </row>
    <row r="137" spans="1:10" x14ac:dyDescent="0.35">
      <c r="A137" s="2">
        <v>1459</v>
      </c>
      <c r="B137" s="3" t="s">
        <v>38</v>
      </c>
      <c r="C137" s="3" t="s">
        <v>165</v>
      </c>
      <c r="D137" s="3" t="s">
        <v>121</v>
      </c>
      <c r="E137" s="3" t="s">
        <v>172</v>
      </c>
      <c r="F137" s="3" t="s">
        <v>141</v>
      </c>
      <c r="G137" s="4">
        <v>45745</v>
      </c>
      <c r="H137" s="3" t="s">
        <v>178</v>
      </c>
      <c r="I137" s="9">
        <f>_xlfn.IFS(AND(F137=Plans!$A$2,Base!H137=Plans!$B$1),Plans!$B$2,AND(F137=Plans!$A$2,Base!H137=Plans!$C$1),Plans!$C$2,AND(F137=Plans!$A$2,Base!H137=Plans!$D$1),Plans!$D$2,AND(F137=Plans!$A$3,Base!H137=Plans!$B$1),Plans!$B$3,AND(F137=Plans!$A$3,Base!H137=Plans!$C$1),Plans!$C$3,AND(F137=Plans!$A$3,Base!H137=Plans!$D$1),Plans!$D$3,AND(F137=Plans!$A$4,Base!H137=Plans!$B$1),Plans!$B$4,AND(F137=Plans!$A$4,Base!H137=Plans!$C$1),Plans!$C$4,AND(F137=Plans!$A$4,Base!H137=Plans!$D$1),Plans!$D$4,AND(F137=Plans!$A$5,Base!H137=Plans!$B$1),Plans!$B$5,AND(F137=Plans!$A$5,Base!H137=Plans!$C$1),Plans!$C$5,AND(F137=Plans!$A$5,Base!H137=Plans!$D$1),Plans!$D$5)</f>
        <v>199.9</v>
      </c>
      <c r="J137" s="3" t="s">
        <v>145</v>
      </c>
    </row>
    <row r="138" spans="1:10" x14ac:dyDescent="0.35">
      <c r="A138" s="2">
        <v>1460</v>
      </c>
      <c r="B138" s="3" t="s">
        <v>85</v>
      </c>
      <c r="C138" s="3" t="s">
        <v>165</v>
      </c>
      <c r="D138" s="3" t="s">
        <v>132</v>
      </c>
      <c r="E138" s="3" t="s">
        <v>174</v>
      </c>
      <c r="F138" s="3" t="s">
        <v>142</v>
      </c>
      <c r="G138" s="4">
        <v>45749</v>
      </c>
      <c r="H138" s="3" t="s">
        <v>162</v>
      </c>
      <c r="I138" s="9">
        <f>_xlfn.IFS(AND(F138=Plans!$A$2,Base!H138=Plans!$B$1),Plans!$B$2,AND(F138=Plans!$A$2,Base!H138=Plans!$C$1),Plans!$C$2,AND(F138=Plans!$A$2,Base!H138=Plans!$D$1),Plans!$D$2,AND(F138=Plans!$A$3,Base!H138=Plans!$B$1),Plans!$B$3,AND(F138=Plans!$A$3,Base!H138=Plans!$C$1),Plans!$C$3,AND(F138=Plans!$A$3,Base!H138=Plans!$D$1),Plans!$D$3,AND(F138=Plans!$A$4,Base!H138=Plans!$B$1),Plans!$B$4,AND(F138=Plans!$A$4,Base!H138=Plans!$C$1),Plans!$C$4,AND(F138=Plans!$A$4,Base!H138=Plans!$D$1),Plans!$D$4,AND(F138=Plans!$A$5,Base!H138=Plans!$B$1),Plans!$B$5,AND(F138=Plans!$A$5,Base!H138=Plans!$C$1),Plans!$C$5,AND(F138=Plans!$A$5,Base!H138=Plans!$D$1),Plans!$D$5)</f>
        <v>39.9</v>
      </c>
      <c r="J138" s="3" t="s">
        <v>150</v>
      </c>
    </row>
    <row r="139" spans="1:10" x14ac:dyDescent="0.35">
      <c r="A139" s="2">
        <v>1461</v>
      </c>
      <c r="B139" s="3" t="s">
        <v>94</v>
      </c>
      <c r="C139" s="3" t="s">
        <v>164</v>
      </c>
      <c r="D139" s="3" t="s">
        <v>129</v>
      </c>
      <c r="E139" s="3" t="s">
        <v>171</v>
      </c>
      <c r="F139" s="3" t="s">
        <v>142</v>
      </c>
      <c r="G139" s="4">
        <v>45752</v>
      </c>
      <c r="H139" s="3" t="s">
        <v>162</v>
      </c>
      <c r="I139" s="9">
        <f>_xlfn.IFS(AND(F139=Plans!$A$2,Base!H139=Plans!$B$1),Plans!$B$2,AND(F139=Plans!$A$2,Base!H139=Plans!$C$1),Plans!$C$2,AND(F139=Plans!$A$2,Base!H139=Plans!$D$1),Plans!$D$2,AND(F139=Plans!$A$3,Base!H139=Plans!$B$1),Plans!$B$3,AND(F139=Plans!$A$3,Base!H139=Plans!$C$1),Plans!$C$3,AND(F139=Plans!$A$3,Base!H139=Plans!$D$1),Plans!$D$3,AND(F139=Plans!$A$4,Base!H139=Plans!$B$1),Plans!$B$4,AND(F139=Plans!$A$4,Base!H139=Plans!$C$1),Plans!$C$4,AND(F139=Plans!$A$4,Base!H139=Plans!$D$1),Plans!$D$4,AND(F139=Plans!$A$5,Base!H139=Plans!$B$1),Plans!$B$5,AND(F139=Plans!$A$5,Base!H139=Plans!$C$1),Plans!$C$5,AND(F139=Plans!$A$5,Base!H139=Plans!$D$1),Plans!$D$5)</f>
        <v>39.9</v>
      </c>
      <c r="J139" s="3" t="s">
        <v>150</v>
      </c>
    </row>
    <row r="140" spans="1:10" x14ac:dyDescent="0.35">
      <c r="A140" s="2">
        <v>1462</v>
      </c>
      <c r="B140" s="3" t="s">
        <v>39</v>
      </c>
      <c r="C140" s="3" t="s">
        <v>164</v>
      </c>
      <c r="D140" s="3" t="s">
        <v>138</v>
      </c>
      <c r="E140" s="3" t="s">
        <v>171</v>
      </c>
      <c r="F140" s="3" t="s">
        <v>141</v>
      </c>
      <c r="G140" s="4">
        <v>45755</v>
      </c>
      <c r="H140" s="3" t="s">
        <v>162</v>
      </c>
      <c r="I140" s="9">
        <f>_xlfn.IFS(AND(F140=Plans!$A$2,Base!H140=Plans!$B$1),Plans!$B$2,AND(F140=Plans!$A$2,Base!H140=Plans!$C$1),Plans!$C$2,AND(F140=Plans!$A$2,Base!H140=Plans!$D$1),Plans!$D$2,AND(F140=Plans!$A$3,Base!H140=Plans!$B$1),Plans!$B$3,AND(F140=Plans!$A$3,Base!H140=Plans!$C$1),Plans!$C$3,AND(F140=Plans!$A$3,Base!H140=Plans!$D$1),Plans!$D$3,AND(F140=Plans!$A$4,Base!H140=Plans!$B$1),Plans!$B$4,AND(F140=Plans!$A$4,Base!H140=Plans!$C$1),Plans!$C$4,AND(F140=Plans!$A$4,Base!H140=Plans!$D$1),Plans!$D$4,AND(F140=Plans!$A$5,Base!H140=Plans!$B$1),Plans!$B$5,AND(F140=Plans!$A$5,Base!H140=Plans!$C$1),Plans!$C$5,AND(F140=Plans!$A$5,Base!H140=Plans!$D$1),Plans!$D$5)</f>
        <v>24.9</v>
      </c>
      <c r="J140" s="3" t="s">
        <v>151</v>
      </c>
    </row>
    <row r="141" spans="1:10" x14ac:dyDescent="0.35">
      <c r="A141" s="2">
        <v>1463</v>
      </c>
      <c r="B141" s="3" t="s">
        <v>95</v>
      </c>
      <c r="C141" s="3" t="s">
        <v>164</v>
      </c>
      <c r="D141" s="3" t="s">
        <v>124</v>
      </c>
      <c r="E141" s="3" t="s">
        <v>170</v>
      </c>
      <c r="F141" s="3" t="s">
        <v>141</v>
      </c>
      <c r="G141" s="4">
        <v>45758</v>
      </c>
      <c r="H141" s="3" t="s">
        <v>178</v>
      </c>
      <c r="I141" s="9">
        <f>_xlfn.IFS(AND(F141=Plans!$A$2,Base!H141=Plans!$B$1),Plans!$B$2,AND(F141=Plans!$A$2,Base!H141=Plans!$C$1),Plans!$C$2,AND(F141=Plans!$A$2,Base!H141=Plans!$D$1),Plans!$D$2,AND(F141=Plans!$A$3,Base!H141=Plans!$B$1),Plans!$B$3,AND(F141=Plans!$A$3,Base!H141=Plans!$C$1),Plans!$C$3,AND(F141=Plans!$A$3,Base!H141=Plans!$D$1),Plans!$D$3,AND(F141=Plans!$A$4,Base!H141=Plans!$B$1),Plans!$B$4,AND(F141=Plans!$A$4,Base!H141=Plans!$C$1),Plans!$C$4,AND(F141=Plans!$A$4,Base!H141=Plans!$D$1),Plans!$D$4,AND(F141=Plans!$A$5,Base!H141=Plans!$B$1),Plans!$B$5,AND(F141=Plans!$A$5,Base!H141=Plans!$C$1),Plans!$C$5,AND(F141=Plans!$A$5,Base!H141=Plans!$D$1),Plans!$D$5)</f>
        <v>199.9</v>
      </c>
      <c r="J141" s="3" t="s">
        <v>145</v>
      </c>
    </row>
    <row r="142" spans="1:10" x14ac:dyDescent="0.35">
      <c r="A142" s="2">
        <v>1464</v>
      </c>
      <c r="B142" s="3" t="s">
        <v>96</v>
      </c>
      <c r="C142" s="3" t="s">
        <v>164</v>
      </c>
      <c r="D142" s="3" t="s">
        <v>130</v>
      </c>
      <c r="E142" s="3" t="s">
        <v>171</v>
      </c>
      <c r="F142" s="3" t="s">
        <v>141</v>
      </c>
      <c r="G142" s="4">
        <v>45761</v>
      </c>
      <c r="H142" s="3" t="s">
        <v>162</v>
      </c>
      <c r="I142" s="9">
        <f>_xlfn.IFS(AND(F142=Plans!$A$2,Base!H142=Plans!$B$1),Plans!$B$2,AND(F142=Plans!$A$2,Base!H142=Plans!$C$1),Plans!$C$2,AND(F142=Plans!$A$2,Base!H142=Plans!$D$1),Plans!$D$2,AND(F142=Plans!$A$3,Base!H142=Plans!$B$1),Plans!$B$3,AND(F142=Plans!$A$3,Base!H142=Plans!$C$1),Plans!$C$3,AND(F142=Plans!$A$3,Base!H142=Plans!$D$1),Plans!$D$3,AND(F142=Plans!$A$4,Base!H142=Plans!$B$1),Plans!$B$4,AND(F142=Plans!$A$4,Base!H142=Plans!$C$1),Plans!$C$4,AND(F142=Plans!$A$4,Base!H142=Plans!$D$1),Plans!$D$4,AND(F142=Plans!$A$5,Base!H142=Plans!$B$1),Plans!$B$5,AND(F142=Plans!$A$5,Base!H142=Plans!$C$1),Plans!$C$5,AND(F142=Plans!$A$5,Base!H142=Plans!$D$1),Plans!$D$5)</f>
        <v>24.9</v>
      </c>
      <c r="J142" s="3" t="s">
        <v>148</v>
      </c>
    </row>
    <row r="143" spans="1:10" x14ac:dyDescent="0.35">
      <c r="A143" s="2">
        <v>1465</v>
      </c>
      <c r="B143" s="3" t="s">
        <v>97</v>
      </c>
      <c r="C143" s="3" t="s">
        <v>165</v>
      </c>
      <c r="D143" s="3" t="s">
        <v>125</v>
      </c>
      <c r="E143" s="3" t="s">
        <v>173</v>
      </c>
      <c r="F143" s="3" t="s">
        <v>141</v>
      </c>
      <c r="G143" s="4">
        <v>45764</v>
      </c>
      <c r="H143" s="3" t="s">
        <v>178</v>
      </c>
      <c r="I143" s="9">
        <f>_xlfn.IFS(AND(F143=Plans!$A$2,Base!H143=Plans!$B$1),Plans!$B$2,AND(F143=Plans!$A$2,Base!H143=Plans!$C$1),Plans!$C$2,AND(F143=Plans!$A$2,Base!H143=Plans!$D$1),Plans!$D$2,AND(F143=Plans!$A$3,Base!H143=Plans!$B$1),Plans!$B$3,AND(F143=Plans!$A$3,Base!H143=Plans!$C$1),Plans!$C$3,AND(F143=Plans!$A$3,Base!H143=Plans!$D$1),Plans!$D$3,AND(F143=Plans!$A$4,Base!H143=Plans!$B$1),Plans!$B$4,AND(F143=Plans!$A$4,Base!H143=Plans!$C$1),Plans!$C$4,AND(F143=Plans!$A$4,Base!H143=Plans!$D$1),Plans!$D$4,AND(F143=Plans!$A$5,Base!H143=Plans!$B$1),Plans!$B$5,AND(F143=Plans!$A$5,Base!H143=Plans!$C$1),Plans!$C$5,AND(F143=Plans!$A$5,Base!H143=Plans!$D$1),Plans!$D$5)</f>
        <v>199.9</v>
      </c>
      <c r="J143" s="3" t="s">
        <v>149</v>
      </c>
    </row>
    <row r="144" spans="1:10" x14ac:dyDescent="0.35">
      <c r="A144" s="2">
        <v>1466</v>
      </c>
      <c r="B144" s="3" t="s">
        <v>52</v>
      </c>
      <c r="C144" s="3" t="s">
        <v>165</v>
      </c>
      <c r="D144" s="3" t="s">
        <v>128</v>
      </c>
      <c r="E144" s="3" t="s">
        <v>171</v>
      </c>
      <c r="F144" s="3" t="s">
        <v>140</v>
      </c>
      <c r="G144" s="4">
        <v>45767</v>
      </c>
      <c r="H144" s="3" t="s">
        <v>161</v>
      </c>
      <c r="I144" s="9">
        <f>_xlfn.IFS(AND(F144=Plans!$A$2,Base!H144=Plans!$B$1),Plans!$B$2,AND(F144=Plans!$A$2,Base!H144=Plans!$C$1),Plans!$C$2,AND(F144=Plans!$A$2,Base!H144=Plans!$D$1),Plans!$D$2,AND(F144=Plans!$A$3,Base!H144=Plans!$B$1),Plans!$B$3,AND(F144=Plans!$A$3,Base!H144=Plans!$C$1),Plans!$C$3,AND(F144=Plans!$A$3,Base!H144=Plans!$D$1),Plans!$D$3,AND(F144=Plans!$A$4,Base!H144=Plans!$B$1),Plans!$B$4,AND(F144=Plans!$A$4,Base!H144=Plans!$C$1),Plans!$C$4,AND(F144=Plans!$A$4,Base!H144=Plans!$D$1),Plans!$D$4,AND(F144=Plans!$A$5,Base!H144=Plans!$B$1),Plans!$B$5,AND(F144=Plans!$A$5,Base!H144=Plans!$C$1),Plans!$C$5,AND(F144=Plans!$A$5,Base!H144=Plans!$D$1),Plans!$D$5)</f>
        <v>349.9</v>
      </c>
      <c r="J144" s="3" t="s">
        <v>152</v>
      </c>
    </row>
    <row r="145" spans="1:10" x14ac:dyDescent="0.35">
      <c r="A145" s="2">
        <v>1467</v>
      </c>
      <c r="B145" s="3" t="s">
        <v>10</v>
      </c>
      <c r="C145" s="3" t="s">
        <v>164</v>
      </c>
      <c r="D145" s="3" t="s">
        <v>125</v>
      </c>
      <c r="E145" s="3" t="s">
        <v>173</v>
      </c>
      <c r="F145" s="3" t="s">
        <v>140</v>
      </c>
      <c r="G145" s="4">
        <v>45852</v>
      </c>
      <c r="H145" s="3" t="s">
        <v>161</v>
      </c>
      <c r="I145" s="9">
        <f>_xlfn.IFS(AND(F145=Plans!$A$2,Base!H145=Plans!$B$1),Plans!$B$2,AND(F145=Plans!$A$2,Base!H145=Plans!$C$1),Plans!$C$2,AND(F145=Plans!$A$2,Base!H145=Plans!$D$1),Plans!$D$2,AND(F145=Plans!$A$3,Base!H145=Plans!$B$1),Plans!$B$3,AND(F145=Plans!$A$3,Base!H145=Plans!$C$1),Plans!$C$3,AND(F145=Plans!$A$3,Base!H145=Plans!$D$1),Plans!$D$3,AND(F145=Plans!$A$4,Base!H145=Plans!$B$1),Plans!$B$4,AND(F145=Plans!$A$4,Base!H145=Plans!$C$1),Plans!$C$4,AND(F145=Plans!$A$4,Base!H145=Plans!$D$1),Plans!$D$4,AND(F145=Plans!$A$5,Base!H145=Plans!$B$1),Plans!$B$5,AND(F145=Plans!$A$5,Base!H145=Plans!$C$1),Plans!$C$5,AND(F145=Plans!$A$5,Base!H145=Plans!$D$1),Plans!$D$5)</f>
        <v>349.9</v>
      </c>
      <c r="J145" s="3" t="s">
        <v>144</v>
      </c>
    </row>
    <row r="146" spans="1:10" x14ac:dyDescent="0.35">
      <c r="A146" s="2">
        <v>1468</v>
      </c>
      <c r="B146" s="3" t="s">
        <v>98</v>
      </c>
      <c r="C146" s="3" t="s">
        <v>164</v>
      </c>
      <c r="D146" s="3" t="s">
        <v>133</v>
      </c>
      <c r="E146" s="3" t="s">
        <v>174</v>
      </c>
      <c r="F146" s="3" t="s">
        <v>142</v>
      </c>
      <c r="G146" s="4">
        <v>45719</v>
      </c>
      <c r="H146" s="3" t="s">
        <v>178</v>
      </c>
      <c r="I146" s="9">
        <f>_xlfn.IFS(AND(F146=Plans!$A$2,Base!H146=Plans!$B$1),Plans!$B$2,AND(F146=Plans!$A$2,Base!H146=Plans!$C$1),Plans!$C$2,AND(F146=Plans!$A$2,Base!H146=Plans!$D$1),Plans!$D$2,AND(F146=Plans!$A$3,Base!H146=Plans!$B$1),Plans!$B$3,AND(F146=Plans!$A$3,Base!H146=Plans!$C$1),Plans!$C$3,AND(F146=Plans!$A$3,Base!H146=Plans!$D$1),Plans!$D$3,AND(F146=Plans!$A$4,Base!H146=Plans!$B$1),Plans!$B$4,AND(F146=Plans!$A$4,Base!H146=Plans!$C$1),Plans!$C$4,AND(F146=Plans!$A$4,Base!H146=Plans!$D$1),Plans!$D$4,AND(F146=Plans!$A$5,Base!H146=Plans!$B$1),Plans!$B$5,AND(F146=Plans!$A$5,Base!H146=Plans!$C$1),Plans!$C$5,AND(F146=Plans!$A$5,Base!H146=Plans!$D$1),Plans!$D$5)</f>
        <v>299.89999999999998</v>
      </c>
      <c r="J146" s="3" t="s">
        <v>151</v>
      </c>
    </row>
    <row r="147" spans="1:10" x14ac:dyDescent="0.35">
      <c r="A147" s="2">
        <v>1469</v>
      </c>
      <c r="B147" s="3" t="s">
        <v>84</v>
      </c>
      <c r="C147" s="3" t="s">
        <v>165</v>
      </c>
      <c r="D147" s="3" t="s">
        <v>126</v>
      </c>
      <c r="E147" s="3" t="s">
        <v>172</v>
      </c>
      <c r="F147" s="3" t="s">
        <v>142</v>
      </c>
      <c r="G147" s="4">
        <v>45721</v>
      </c>
      <c r="H147" s="3" t="s">
        <v>178</v>
      </c>
      <c r="I147" s="9">
        <f>_xlfn.IFS(AND(F147=Plans!$A$2,Base!H147=Plans!$B$1),Plans!$B$2,AND(F147=Plans!$A$2,Base!H147=Plans!$C$1),Plans!$C$2,AND(F147=Plans!$A$2,Base!H147=Plans!$D$1),Plans!$D$2,AND(F147=Plans!$A$3,Base!H147=Plans!$B$1),Plans!$B$3,AND(F147=Plans!$A$3,Base!H147=Plans!$C$1),Plans!$C$3,AND(F147=Plans!$A$3,Base!H147=Plans!$D$1),Plans!$D$3,AND(F147=Plans!$A$4,Base!H147=Plans!$B$1),Plans!$B$4,AND(F147=Plans!$A$4,Base!H147=Plans!$C$1),Plans!$C$4,AND(F147=Plans!$A$4,Base!H147=Plans!$D$1),Plans!$D$4,AND(F147=Plans!$A$5,Base!H147=Plans!$B$1),Plans!$B$5,AND(F147=Plans!$A$5,Base!H147=Plans!$C$1),Plans!$C$5,AND(F147=Plans!$A$5,Base!H147=Plans!$D$1),Plans!$D$5)</f>
        <v>299.89999999999998</v>
      </c>
      <c r="J147" s="3" t="s">
        <v>146</v>
      </c>
    </row>
    <row r="148" spans="1:10" x14ac:dyDescent="0.35">
      <c r="A148" s="2">
        <v>1470</v>
      </c>
      <c r="B148" s="3" t="s">
        <v>99</v>
      </c>
      <c r="C148" s="3" t="s">
        <v>164</v>
      </c>
      <c r="D148" s="3" t="s">
        <v>134</v>
      </c>
      <c r="E148" s="3" t="s">
        <v>171</v>
      </c>
      <c r="F148" s="3" t="s">
        <v>141</v>
      </c>
      <c r="G148" s="4">
        <v>45724</v>
      </c>
      <c r="H148" s="3" t="s">
        <v>162</v>
      </c>
      <c r="I148" s="9">
        <f>_xlfn.IFS(AND(F148=Plans!$A$2,Base!H148=Plans!$B$1),Plans!$B$2,AND(F148=Plans!$A$2,Base!H148=Plans!$C$1),Plans!$C$2,AND(F148=Plans!$A$2,Base!H148=Plans!$D$1),Plans!$D$2,AND(F148=Plans!$A$3,Base!H148=Plans!$B$1),Plans!$B$3,AND(F148=Plans!$A$3,Base!H148=Plans!$C$1),Plans!$C$3,AND(F148=Plans!$A$3,Base!H148=Plans!$D$1),Plans!$D$3,AND(F148=Plans!$A$4,Base!H148=Plans!$B$1),Plans!$B$4,AND(F148=Plans!$A$4,Base!H148=Plans!$C$1),Plans!$C$4,AND(F148=Plans!$A$4,Base!H148=Plans!$D$1),Plans!$D$4,AND(F148=Plans!$A$5,Base!H148=Plans!$B$1),Plans!$B$5,AND(F148=Plans!$A$5,Base!H148=Plans!$C$1),Plans!$C$5,AND(F148=Plans!$A$5,Base!H148=Plans!$D$1),Plans!$D$5)</f>
        <v>24.9</v>
      </c>
      <c r="J148" s="3" t="s">
        <v>144</v>
      </c>
    </row>
    <row r="149" spans="1:10" x14ac:dyDescent="0.35">
      <c r="A149" s="2">
        <v>1471</v>
      </c>
      <c r="B149" s="3" t="s">
        <v>56</v>
      </c>
      <c r="C149" s="3" t="s">
        <v>165</v>
      </c>
      <c r="D149" s="3" t="s">
        <v>125</v>
      </c>
      <c r="E149" s="3" t="s">
        <v>173</v>
      </c>
      <c r="F149" s="3" t="s">
        <v>142</v>
      </c>
      <c r="G149" s="4">
        <v>45727</v>
      </c>
      <c r="H149" s="3" t="s">
        <v>162</v>
      </c>
      <c r="I149" s="9">
        <f>_xlfn.IFS(AND(F149=Plans!$A$2,Base!H149=Plans!$B$1),Plans!$B$2,AND(F149=Plans!$A$2,Base!H149=Plans!$C$1),Plans!$C$2,AND(F149=Plans!$A$2,Base!H149=Plans!$D$1),Plans!$D$2,AND(F149=Plans!$A$3,Base!H149=Plans!$B$1),Plans!$B$3,AND(F149=Plans!$A$3,Base!H149=Plans!$C$1),Plans!$C$3,AND(F149=Plans!$A$3,Base!H149=Plans!$D$1),Plans!$D$3,AND(F149=Plans!$A$4,Base!H149=Plans!$B$1),Plans!$B$4,AND(F149=Plans!$A$4,Base!H149=Plans!$C$1),Plans!$C$4,AND(F149=Plans!$A$4,Base!H149=Plans!$D$1),Plans!$D$4,AND(F149=Plans!$A$5,Base!H149=Plans!$B$1),Plans!$B$5,AND(F149=Plans!$A$5,Base!H149=Plans!$C$1),Plans!$C$5,AND(F149=Plans!$A$5,Base!H149=Plans!$D$1),Plans!$D$5)</f>
        <v>39.9</v>
      </c>
      <c r="J149" s="3" t="s">
        <v>151</v>
      </c>
    </row>
    <row r="150" spans="1:10" x14ac:dyDescent="0.35">
      <c r="A150" s="2">
        <v>1472</v>
      </c>
      <c r="B150" s="3" t="s">
        <v>91</v>
      </c>
      <c r="C150" s="3" t="s">
        <v>164</v>
      </c>
      <c r="D150" s="3" t="s">
        <v>129</v>
      </c>
      <c r="E150" s="3" t="s">
        <v>171</v>
      </c>
      <c r="F150" s="3" t="s">
        <v>141</v>
      </c>
      <c r="G150" s="4">
        <v>45730</v>
      </c>
      <c r="H150" s="3" t="s">
        <v>178</v>
      </c>
      <c r="I150" s="9">
        <f>_xlfn.IFS(AND(F150=Plans!$A$2,Base!H150=Plans!$B$1),Plans!$B$2,AND(F150=Plans!$A$2,Base!H150=Plans!$C$1),Plans!$C$2,AND(F150=Plans!$A$2,Base!H150=Plans!$D$1),Plans!$D$2,AND(F150=Plans!$A$3,Base!H150=Plans!$B$1),Plans!$B$3,AND(F150=Plans!$A$3,Base!H150=Plans!$C$1),Plans!$C$3,AND(F150=Plans!$A$3,Base!H150=Plans!$D$1),Plans!$D$3,AND(F150=Plans!$A$4,Base!H150=Plans!$B$1),Plans!$B$4,AND(F150=Plans!$A$4,Base!H150=Plans!$C$1),Plans!$C$4,AND(F150=Plans!$A$4,Base!H150=Plans!$D$1),Plans!$D$4,AND(F150=Plans!$A$5,Base!H150=Plans!$B$1),Plans!$B$5,AND(F150=Plans!$A$5,Base!H150=Plans!$C$1),Plans!$C$5,AND(F150=Plans!$A$5,Base!H150=Plans!$D$1),Plans!$D$5)</f>
        <v>199.9</v>
      </c>
      <c r="J150" s="3" t="s">
        <v>149</v>
      </c>
    </row>
    <row r="151" spans="1:10" x14ac:dyDescent="0.35">
      <c r="A151" s="2">
        <v>1473</v>
      </c>
      <c r="B151" s="3" t="s">
        <v>62</v>
      </c>
      <c r="C151" s="3" t="s">
        <v>165</v>
      </c>
      <c r="D151" s="3" t="s">
        <v>137</v>
      </c>
      <c r="E151" s="3" t="s">
        <v>170</v>
      </c>
      <c r="F151" s="3" t="s">
        <v>139</v>
      </c>
      <c r="G151" s="4">
        <v>45733</v>
      </c>
      <c r="H151" s="3" t="s">
        <v>178</v>
      </c>
      <c r="I151" s="9">
        <f>_xlfn.IFS(AND(F151=Plans!$A$2,Base!H151=Plans!$B$1),Plans!$B$2,AND(F151=Plans!$A$2,Base!H151=Plans!$C$1),Plans!$C$2,AND(F151=Plans!$A$2,Base!H151=Plans!$D$1),Plans!$D$2,AND(F151=Plans!$A$3,Base!H151=Plans!$B$1),Plans!$B$3,AND(F151=Plans!$A$3,Base!H151=Plans!$C$1),Plans!$C$3,AND(F151=Plans!$A$3,Base!H151=Plans!$D$1),Plans!$D$3,AND(F151=Plans!$A$4,Base!H151=Plans!$B$1),Plans!$B$4,AND(F151=Plans!$A$4,Base!H151=Plans!$C$1),Plans!$C$4,AND(F151=Plans!$A$4,Base!H151=Plans!$D$1),Plans!$D$4,AND(F151=Plans!$A$5,Base!H151=Plans!$B$1),Plans!$B$5,AND(F151=Plans!$A$5,Base!H151=Plans!$C$1),Plans!$C$5,AND(F151=Plans!$A$5,Base!H151=Plans!$D$1),Plans!$D$5)</f>
        <v>599.9</v>
      </c>
      <c r="J151" s="3" t="s">
        <v>150</v>
      </c>
    </row>
    <row r="152" spans="1:10" x14ac:dyDescent="0.35">
      <c r="A152" s="2">
        <v>1474</v>
      </c>
      <c r="B152" s="3" t="s">
        <v>54</v>
      </c>
      <c r="C152" s="3" t="s">
        <v>165</v>
      </c>
      <c r="D152" s="3" t="s">
        <v>138</v>
      </c>
      <c r="E152" s="3" t="s">
        <v>171</v>
      </c>
      <c r="F152" s="3" t="s">
        <v>139</v>
      </c>
      <c r="G152" s="4">
        <v>45736</v>
      </c>
      <c r="H152" s="3" t="s">
        <v>161</v>
      </c>
      <c r="I152" s="9">
        <f>_xlfn.IFS(AND(F152=Plans!$A$2,Base!H152=Plans!$B$1),Plans!$B$2,AND(F152=Plans!$A$2,Base!H152=Plans!$C$1),Plans!$C$2,AND(F152=Plans!$A$2,Base!H152=Plans!$D$1),Plans!$D$2,AND(F152=Plans!$A$3,Base!H152=Plans!$B$1),Plans!$B$3,AND(F152=Plans!$A$3,Base!H152=Plans!$C$1),Plans!$C$3,AND(F152=Plans!$A$3,Base!H152=Plans!$D$1),Plans!$D$3,AND(F152=Plans!$A$4,Base!H152=Plans!$B$1),Plans!$B$4,AND(F152=Plans!$A$4,Base!H152=Plans!$C$1),Plans!$C$4,AND(F152=Plans!$A$4,Base!H152=Plans!$D$1),Plans!$D$4,AND(F152=Plans!$A$5,Base!H152=Plans!$B$1),Plans!$B$5,AND(F152=Plans!$A$5,Base!H152=Plans!$C$1),Plans!$C$5,AND(F152=Plans!$A$5,Base!H152=Plans!$D$1),Plans!$D$5)</f>
        <v>489.9</v>
      </c>
      <c r="J152" s="3" t="s">
        <v>145</v>
      </c>
    </row>
    <row r="153" spans="1:10" x14ac:dyDescent="0.35">
      <c r="A153" s="2">
        <v>1475</v>
      </c>
      <c r="B153" s="3" t="s">
        <v>100</v>
      </c>
      <c r="C153" s="3" t="s">
        <v>165</v>
      </c>
      <c r="D153" s="3" t="s">
        <v>133</v>
      </c>
      <c r="E153" s="3" t="s">
        <v>174</v>
      </c>
      <c r="F153" s="3" t="s">
        <v>141</v>
      </c>
      <c r="G153" s="4">
        <v>45739</v>
      </c>
      <c r="H153" s="3" t="s">
        <v>178</v>
      </c>
      <c r="I153" s="9">
        <f>_xlfn.IFS(AND(F153=Plans!$A$2,Base!H153=Plans!$B$1),Plans!$B$2,AND(F153=Plans!$A$2,Base!H153=Plans!$C$1),Plans!$C$2,AND(F153=Plans!$A$2,Base!H153=Plans!$D$1),Plans!$D$2,AND(F153=Plans!$A$3,Base!H153=Plans!$B$1),Plans!$B$3,AND(F153=Plans!$A$3,Base!H153=Plans!$C$1),Plans!$C$3,AND(F153=Plans!$A$3,Base!H153=Plans!$D$1),Plans!$D$3,AND(F153=Plans!$A$4,Base!H153=Plans!$B$1),Plans!$B$4,AND(F153=Plans!$A$4,Base!H153=Plans!$C$1),Plans!$C$4,AND(F153=Plans!$A$4,Base!H153=Plans!$D$1),Plans!$D$4,AND(F153=Plans!$A$5,Base!H153=Plans!$B$1),Plans!$B$5,AND(F153=Plans!$A$5,Base!H153=Plans!$C$1),Plans!$C$5,AND(F153=Plans!$A$5,Base!H153=Plans!$D$1),Plans!$D$5)</f>
        <v>199.9</v>
      </c>
      <c r="J153" s="3" t="s">
        <v>150</v>
      </c>
    </row>
    <row r="154" spans="1:10" x14ac:dyDescent="0.35">
      <c r="A154" s="2">
        <v>1476</v>
      </c>
      <c r="B154" s="3" t="s">
        <v>71</v>
      </c>
      <c r="C154" s="3" t="s">
        <v>164</v>
      </c>
      <c r="D154" s="3" t="s">
        <v>134</v>
      </c>
      <c r="E154" s="3" t="s">
        <v>171</v>
      </c>
      <c r="F154" s="3" t="s">
        <v>141</v>
      </c>
      <c r="G154" s="4">
        <v>45742</v>
      </c>
      <c r="H154" s="3" t="s">
        <v>162</v>
      </c>
      <c r="I154" s="9">
        <f>_xlfn.IFS(AND(F154=Plans!$A$2,Base!H154=Plans!$B$1),Plans!$B$2,AND(F154=Plans!$A$2,Base!H154=Plans!$C$1),Plans!$C$2,AND(F154=Plans!$A$2,Base!H154=Plans!$D$1),Plans!$D$2,AND(F154=Plans!$A$3,Base!H154=Plans!$B$1),Plans!$B$3,AND(F154=Plans!$A$3,Base!H154=Plans!$C$1),Plans!$C$3,AND(F154=Plans!$A$3,Base!H154=Plans!$D$1),Plans!$D$3,AND(F154=Plans!$A$4,Base!H154=Plans!$B$1),Plans!$B$4,AND(F154=Plans!$A$4,Base!H154=Plans!$C$1),Plans!$C$4,AND(F154=Plans!$A$4,Base!H154=Plans!$D$1),Plans!$D$4,AND(F154=Plans!$A$5,Base!H154=Plans!$B$1),Plans!$B$5,AND(F154=Plans!$A$5,Base!H154=Plans!$C$1),Plans!$C$5,AND(F154=Plans!$A$5,Base!H154=Plans!$D$1),Plans!$D$5)</f>
        <v>24.9</v>
      </c>
      <c r="J154" s="3" t="s">
        <v>149</v>
      </c>
    </row>
    <row r="155" spans="1:10" x14ac:dyDescent="0.35">
      <c r="A155" s="2">
        <v>1477</v>
      </c>
      <c r="B155" s="3" t="s">
        <v>101</v>
      </c>
      <c r="C155" s="3" t="s">
        <v>165</v>
      </c>
      <c r="D155" s="3" t="s">
        <v>123</v>
      </c>
      <c r="E155" s="3" t="s">
        <v>171</v>
      </c>
      <c r="F155" s="3" t="s">
        <v>142</v>
      </c>
      <c r="G155" s="4">
        <v>45745</v>
      </c>
      <c r="H155" s="3" t="s">
        <v>162</v>
      </c>
      <c r="I155" s="9">
        <f>_xlfn.IFS(AND(F155=Plans!$A$2,Base!H155=Plans!$B$1),Plans!$B$2,AND(F155=Plans!$A$2,Base!H155=Plans!$C$1),Plans!$C$2,AND(F155=Plans!$A$2,Base!H155=Plans!$D$1),Plans!$D$2,AND(F155=Plans!$A$3,Base!H155=Plans!$B$1),Plans!$B$3,AND(F155=Plans!$A$3,Base!H155=Plans!$C$1),Plans!$C$3,AND(F155=Plans!$A$3,Base!H155=Plans!$D$1),Plans!$D$3,AND(F155=Plans!$A$4,Base!H155=Plans!$B$1),Plans!$B$4,AND(F155=Plans!$A$4,Base!H155=Plans!$C$1),Plans!$C$4,AND(F155=Plans!$A$4,Base!H155=Plans!$D$1),Plans!$D$4,AND(F155=Plans!$A$5,Base!H155=Plans!$B$1),Plans!$B$5,AND(F155=Plans!$A$5,Base!H155=Plans!$C$1),Plans!$C$5,AND(F155=Plans!$A$5,Base!H155=Plans!$D$1),Plans!$D$5)</f>
        <v>39.9</v>
      </c>
      <c r="J155" s="3" t="s">
        <v>143</v>
      </c>
    </row>
    <row r="156" spans="1:10" x14ac:dyDescent="0.35">
      <c r="A156" s="2">
        <v>1478</v>
      </c>
      <c r="B156" s="3" t="s">
        <v>78</v>
      </c>
      <c r="C156" s="3" t="s">
        <v>166</v>
      </c>
      <c r="D156" s="3" t="s">
        <v>125</v>
      </c>
      <c r="E156" s="3" t="s">
        <v>173</v>
      </c>
      <c r="F156" s="3" t="s">
        <v>139</v>
      </c>
      <c r="G156" s="4">
        <v>45749</v>
      </c>
      <c r="H156" s="3" t="s">
        <v>162</v>
      </c>
      <c r="I156" s="9">
        <f>_xlfn.IFS(AND(F156=Plans!$A$2,Base!H156=Plans!$B$1),Plans!$B$2,AND(F156=Plans!$A$2,Base!H156=Plans!$C$1),Plans!$C$2,AND(F156=Plans!$A$2,Base!H156=Plans!$D$1),Plans!$D$2,AND(F156=Plans!$A$3,Base!H156=Plans!$B$1),Plans!$B$3,AND(F156=Plans!$A$3,Base!H156=Plans!$C$1),Plans!$C$3,AND(F156=Plans!$A$3,Base!H156=Plans!$D$1),Plans!$D$3,AND(F156=Plans!$A$4,Base!H156=Plans!$B$1),Plans!$B$4,AND(F156=Plans!$A$4,Base!H156=Plans!$C$1),Plans!$C$4,AND(F156=Plans!$A$4,Base!H156=Plans!$D$1),Plans!$D$4,AND(F156=Plans!$A$5,Base!H156=Plans!$B$1),Plans!$B$5,AND(F156=Plans!$A$5,Base!H156=Plans!$C$1),Plans!$C$5,AND(F156=Plans!$A$5,Base!H156=Plans!$D$1),Plans!$D$5)</f>
        <v>74.900000000000006</v>
      </c>
      <c r="J156" s="3" t="s">
        <v>144</v>
      </c>
    </row>
    <row r="157" spans="1:10" x14ac:dyDescent="0.35">
      <c r="A157" s="2">
        <v>1479</v>
      </c>
      <c r="B157" s="3" t="s">
        <v>20</v>
      </c>
      <c r="C157" s="3" t="s">
        <v>165</v>
      </c>
      <c r="D157" s="3" t="s">
        <v>134</v>
      </c>
      <c r="E157" s="3" t="s">
        <v>171</v>
      </c>
      <c r="F157" s="3" t="s">
        <v>141</v>
      </c>
      <c r="G157" s="4">
        <v>45752</v>
      </c>
      <c r="H157" s="3" t="s">
        <v>178</v>
      </c>
      <c r="I157" s="9">
        <f>_xlfn.IFS(AND(F157=Plans!$A$2,Base!H157=Plans!$B$1),Plans!$B$2,AND(F157=Plans!$A$2,Base!H157=Plans!$C$1),Plans!$C$2,AND(F157=Plans!$A$2,Base!H157=Plans!$D$1),Plans!$D$2,AND(F157=Plans!$A$3,Base!H157=Plans!$B$1),Plans!$B$3,AND(F157=Plans!$A$3,Base!H157=Plans!$C$1),Plans!$C$3,AND(F157=Plans!$A$3,Base!H157=Plans!$D$1),Plans!$D$3,AND(F157=Plans!$A$4,Base!H157=Plans!$B$1),Plans!$B$4,AND(F157=Plans!$A$4,Base!H157=Plans!$C$1),Plans!$C$4,AND(F157=Plans!$A$4,Base!H157=Plans!$D$1),Plans!$D$4,AND(F157=Plans!$A$5,Base!H157=Plans!$B$1),Plans!$B$5,AND(F157=Plans!$A$5,Base!H157=Plans!$C$1),Plans!$C$5,AND(F157=Plans!$A$5,Base!H157=Plans!$D$1),Plans!$D$5)</f>
        <v>199.9</v>
      </c>
      <c r="J157" s="3" t="s">
        <v>143</v>
      </c>
    </row>
    <row r="158" spans="1:10" x14ac:dyDescent="0.35">
      <c r="A158" s="2">
        <v>1480</v>
      </c>
      <c r="B158" s="3" t="s">
        <v>102</v>
      </c>
      <c r="C158" s="3" t="s">
        <v>164</v>
      </c>
      <c r="D158" s="3" t="s">
        <v>119</v>
      </c>
      <c r="E158" s="3" t="s">
        <v>170</v>
      </c>
      <c r="F158" s="3" t="s">
        <v>139</v>
      </c>
      <c r="G158" s="4">
        <v>45755</v>
      </c>
      <c r="H158" s="3" t="s">
        <v>178</v>
      </c>
      <c r="I158" s="9">
        <f>_xlfn.IFS(AND(F158=Plans!$A$2,Base!H158=Plans!$B$1),Plans!$B$2,AND(F158=Plans!$A$2,Base!H158=Plans!$C$1),Plans!$C$2,AND(F158=Plans!$A$2,Base!H158=Plans!$D$1),Plans!$D$2,AND(F158=Plans!$A$3,Base!H158=Plans!$B$1),Plans!$B$3,AND(F158=Plans!$A$3,Base!H158=Plans!$C$1),Plans!$C$3,AND(F158=Plans!$A$3,Base!H158=Plans!$D$1),Plans!$D$3,AND(F158=Plans!$A$4,Base!H158=Plans!$B$1),Plans!$B$4,AND(F158=Plans!$A$4,Base!H158=Plans!$C$1),Plans!$C$4,AND(F158=Plans!$A$4,Base!H158=Plans!$D$1),Plans!$D$4,AND(F158=Plans!$A$5,Base!H158=Plans!$B$1),Plans!$B$5,AND(F158=Plans!$A$5,Base!H158=Plans!$C$1),Plans!$C$5,AND(F158=Plans!$A$5,Base!H158=Plans!$D$1),Plans!$D$5)</f>
        <v>599.9</v>
      </c>
      <c r="J158" s="3" t="s">
        <v>145</v>
      </c>
    </row>
    <row r="159" spans="1:10" x14ac:dyDescent="0.35">
      <c r="A159" s="2">
        <v>1481</v>
      </c>
      <c r="B159" s="3" t="s">
        <v>103</v>
      </c>
      <c r="C159" s="3" t="s">
        <v>164</v>
      </c>
      <c r="D159" s="3" t="s">
        <v>129</v>
      </c>
      <c r="E159" s="3" t="s">
        <v>171</v>
      </c>
      <c r="F159" s="3" t="s">
        <v>141</v>
      </c>
      <c r="G159" s="4">
        <v>45758</v>
      </c>
      <c r="H159" s="3" t="s">
        <v>178</v>
      </c>
      <c r="I159" s="9">
        <f>_xlfn.IFS(AND(F159=Plans!$A$2,Base!H159=Plans!$B$1),Plans!$B$2,AND(F159=Plans!$A$2,Base!H159=Plans!$C$1),Plans!$C$2,AND(F159=Plans!$A$2,Base!H159=Plans!$D$1),Plans!$D$2,AND(F159=Plans!$A$3,Base!H159=Plans!$B$1),Plans!$B$3,AND(F159=Plans!$A$3,Base!H159=Plans!$C$1),Plans!$C$3,AND(F159=Plans!$A$3,Base!H159=Plans!$D$1),Plans!$D$3,AND(F159=Plans!$A$4,Base!H159=Plans!$B$1),Plans!$B$4,AND(F159=Plans!$A$4,Base!H159=Plans!$C$1),Plans!$C$4,AND(F159=Plans!$A$4,Base!H159=Plans!$D$1),Plans!$D$4,AND(F159=Plans!$A$5,Base!H159=Plans!$B$1),Plans!$B$5,AND(F159=Plans!$A$5,Base!H159=Plans!$C$1),Plans!$C$5,AND(F159=Plans!$A$5,Base!H159=Plans!$D$1),Plans!$D$5)</f>
        <v>199.9</v>
      </c>
      <c r="J159" s="3" t="s">
        <v>147</v>
      </c>
    </row>
    <row r="160" spans="1:10" x14ac:dyDescent="0.35">
      <c r="A160" s="2">
        <v>1482</v>
      </c>
      <c r="B160" s="3" t="s">
        <v>92</v>
      </c>
      <c r="C160" s="3" t="s">
        <v>165</v>
      </c>
      <c r="D160" s="3" t="s">
        <v>131</v>
      </c>
      <c r="E160" s="3" t="s">
        <v>172</v>
      </c>
      <c r="F160" s="3" t="s">
        <v>139</v>
      </c>
      <c r="G160" s="4">
        <v>45761</v>
      </c>
      <c r="H160" s="3" t="s">
        <v>162</v>
      </c>
      <c r="I160" s="9">
        <f>_xlfn.IFS(AND(F160=Plans!$A$2,Base!H160=Plans!$B$1),Plans!$B$2,AND(F160=Plans!$A$2,Base!H160=Plans!$C$1),Plans!$C$2,AND(F160=Plans!$A$2,Base!H160=Plans!$D$1),Plans!$D$2,AND(F160=Plans!$A$3,Base!H160=Plans!$B$1),Plans!$B$3,AND(F160=Plans!$A$3,Base!H160=Plans!$C$1),Plans!$C$3,AND(F160=Plans!$A$3,Base!H160=Plans!$D$1),Plans!$D$3,AND(F160=Plans!$A$4,Base!H160=Plans!$B$1),Plans!$B$4,AND(F160=Plans!$A$4,Base!H160=Plans!$C$1),Plans!$C$4,AND(F160=Plans!$A$4,Base!H160=Plans!$D$1),Plans!$D$4,AND(F160=Plans!$A$5,Base!H160=Plans!$B$1),Plans!$B$5,AND(F160=Plans!$A$5,Base!H160=Plans!$C$1),Plans!$C$5,AND(F160=Plans!$A$5,Base!H160=Plans!$D$1),Plans!$D$5)</f>
        <v>74.900000000000006</v>
      </c>
      <c r="J160" s="3" t="s">
        <v>148</v>
      </c>
    </row>
    <row r="161" spans="1:10" x14ac:dyDescent="0.35">
      <c r="A161" s="2">
        <v>1483</v>
      </c>
      <c r="B161" s="3" t="s">
        <v>17</v>
      </c>
      <c r="C161" s="3" t="s">
        <v>165</v>
      </c>
      <c r="D161" s="3" t="s">
        <v>135</v>
      </c>
      <c r="E161" s="3" t="s">
        <v>172</v>
      </c>
      <c r="F161" s="3" t="s">
        <v>141</v>
      </c>
      <c r="G161" s="4">
        <v>45764</v>
      </c>
      <c r="H161" s="3" t="s">
        <v>162</v>
      </c>
      <c r="I161" s="9">
        <f>_xlfn.IFS(AND(F161=Plans!$A$2,Base!H161=Plans!$B$1),Plans!$B$2,AND(F161=Plans!$A$2,Base!H161=Plans!$C$1),Plans!$C$2,AND(F161=Plans!$A$2,Base!H161=Plans!$D$1),Plans!$D$2,AND(F161=Plans!$A$3,Base!H161=Plans!$B$1),Plans!$B$3,AND(F161=Plans!$A$3,Base!H161=Plans!$C$1),Plans!$C$3,AND(F161=Plans!$A$3,Base!H161=Plans!$D$1),Plans!$D$3,AND(F161=Plans!$A$4,Base!H161=Plans!$B$1),Plans!$B$4,AND(F161=Plans!$A$4,Base!H161=Plans!$C$1),Plans!$C$4,AND(F161=Plans!$A$4,Base!H161=Plans!$D$1),Plans!$D$4,AND(F161=Plans!$A$5,Base!H161=Plans!$B$1),Plans!$B$5,AND(F161=Plans!$A$5,Base!H161=Plans!$C$1),Plans!$C$5,AND(F161=Plans!$A$5,Base!H161=Plans!$D$1),Plans!$D$5)</f>
        <v>24.9</v>
      </c>
      <c r="J161" s="3" t="s">
        <v>148</v>
      </c>
    </row>
    <row r="162" spans="1:10" x14ac:dyDescent="0.35">
      <c r="A162" s="2">
        <v>1484</v>
      </c>
      <c r="B162" s="3" t="s">
        <v>104</v>
      </c>
      <c r="C162" s="3" t="s">
        <v>164</v>
      </c>
      <c r="D162" s="3" t="s">
        <v>132</v>
      </c>
      <c r="E162" s="3" t="s">
        <v>174</v>
      </c>
      <c r="F162" s="3" t="s">
        <v>139</v>
      </c>
      <c r="G162" s="4">
        <v>45767</v>
      </c>
      <c r="H162" s="3" t="s">
        <v>161</v>
      </c>
      <c r="I162" s="9">
        <f>_xlfn.IFS(AND(F162=Plans!$A$2,Base!H162=Plans!$B$1),Plans!$B$2,AND(F162=Plans!$A$2,Base!H162=Plans!$C$1),Plans!$C$2,AND(F162=Plans!$A$2,Base!H162=Plans!$D$1),Plans!$D$2,AND(F162=Plans!$A$3,Base!H162=Plans!$B$1),Plans!$B$3,AND(F162=Plans!$A$3,Base!H162=Plans!$C$1),Plans!$C$3,AND(F162=Plans!$A$3,Base!H162=Plans!$D$1),Plans!$D$3,AND(F162=Plans!$A$4,Base!H162=Plans!$B$1),Plans!$B$4,AND(F162=Plans!$A$4,Base!H162=Plans!$C$1),Plans!$C$4,AND(F162=Plans!$A$4,Base!H162=Plans!$D$1),Plans!$D$4,AND(F162=Plans!$A$5,Base!H162=Plans!$B$1),Plans!$B$5,AND(F162=Plans!$A$5,Base!H162=Plans!$C$1),Plans!$C$5,AND(F162=Plans!$A$5,Base!H162=Plans!$D$1),Plans!$D$5)</f>
        <v>489.9</v>
      </c>
      <c r="J162" s="3" t="s">
        <v>143</v>
      </c>
    </row>
    <row r="163" spans="1:10" x14ac:dyDescent="0.35">
      <c r="A163" s="2">
        <v>1485</v>
      </c>
      <c r="B163" s="3" t="s">
        <v>105</v>
      </c>
      <c r="C163" s="3" t="s">
        <v>164</v>
      </c>
      <c r="D163" s="3" t="s">
        <v>121</v>
      </c>
      <c r="E163" s="3" t="s">
        <v>172</v>
      </c>
      <c r="F163" s="3" t="s">
        <v>140</v>
      </c>
      <c r="G163" s="4">
        <v>45752</v>
      </c>
      <c r="H163" s="3" t="s">
        <v>178</v>
      </c>
      <c r="I163" s="9">
        <f>_xlfn.IFS(AND(F163=Plans!$A$2,Base!H163=Plans!$B$1),Plans!$B$2,AND(F163=Plans!$A$2,Base!H163=Plans!$C$1),Plans!$C$2,AND(F163=Plans!$A$2,Base!H163=Plans!$D$1),Plans!$D$2,AND(F163=Plans!$A$3,Base!H163=Plans!$B$1),Plans!$B$3,AND(F163=Plans!$A$3,Base!H163=Plans!$C$1),Plans!$C$3,AND(F163=Plans!$A$3,Base!H163=Plans!$D$1),Plans!$D$3,AND(F163=Plans!$A$4,Base!H163=Plans!$B$1),Plans!$B$4,AND(F163=Plans!$A$4,Base!H163=Plans!$C$1),Plans!$C$4,AND(F163=Plans!$A$4,Base!H163=Plans!$D$1),Plans!$D$4,AND(F163=Plans!$A$5,Base!H163=Plans!$B$1),Plans!$B$5,AND(F163=Plans!$A$5,Base!H163=Plans!$C$1),Plans!$C$5,AND(F163=Plans!$A$5,Base!H163=Plans!$D$1),Plans!$D$5)</f>
        <v>449.9</v>
      </c>
      <c r="J163" s="3" t="s">
        <v>148</v>
      </c>
    </row>
    <row r="164" spans="1:10" x14ac:dyDescent="0.35">
      <c r="A164" s="2">
        <v>1486</v>
      </c>
      <c r="B164" s="3" t="s">
        <v>106</v>
      </c>
      <c r="C164" s="3" t="s">
        <v>166</v>
      </c>
      <c r="D164" s="3" t="s">
        <v>133</v>
      </c>
      <c r="E164" s="3" t="s">
        <v>174</v>
      </c>
      <c r="F164" s="3" t="s">
        <v>139</v>
      </c>
      <c r="G164" s="4">
        <v>45755</v>
      </c>
      <c r="H164" s="3" t="s">
        <v>161</v>
      </c>
      <c r="I164" s="9">
        <f>_xlfn.IFS(AND(F164=Plans!$A$2,Base!H164=Plans!$B$1),Plans!$B$2,AND(F164=Plans!$A$2,Base!H164=Plans!$C$1),Plans!$C$2,AND(F164=Plans!$A$2,Base!H164=Plans!$D$1),Plans!$D$2,AND(F164=Plans!$A$3,Base!H164=Plans!$B$1),Plans!$B$3,AND(F164=Plans!$A$3,Base!H164=Plans!$C$1),Plans!$C$3,AND(F164=Plans!$A$3,Base!H164=Plans!$D$1),Plans!$D$3,AND(F164=Plans!$A$4,Base!H164=Plans!$B$1),Plans!$B$4,AND(F164=Plans!$A$4,Base!H164=Plans!$C$1),Plans!$C$4,AND(F164=Plans!$A$4,Base!H164=Plans!$D$1),Plans!$D$4,AND(F164=Plans!$A$5,Base!H164=Plans!$B$1),Plans!$B$5,AND(F164=Plans!$A$5,Base!H164=Plans!$C$1),Plans!$C$5,AND(F164=Plans!$A$5,Base!H164=Plans!$D$1),Plans!$D$5)</f>
        <v>489.9</v>
      </c>
      <c r="J164" s="3" t="s">
        <v>151</v>
      </c>
    </row>
    <row r="165" spans="1:10" x14ac:dyDescent="0.35">
      <c r="A165" s="2">
        <v>1487</v>
      </c>
      <c r="B165" s="3" t="s">
        <v>107</v>
      </c>
      <c r="C165" s="3" t="s">
        <v>164</v>
      </c>
      <c r="D165" s="3" t="s">
        <v>125</v>
      </c>
      <c r="E165" s="3" t="s">
        <v>173</v>
      </c>
      <c r="F165" s="3" t="s">
        <v>142</v>
      </c>
      <c r="G165" s="4">
        <v>45758</v>
      </c>
      <c r="H165" s="3" t="s">
        <v>162</v>
      </c>
      <c r="I165" s="9">
        <f>_xlfn.IFS(AND(F165=Plans!$A$2,Base!H165=Plans!$B$1),Plans!$B$2,AND(F165=Plans!$A$2,Base!H165=Plans!$C$1),Plans!$C$2,AND(F165=Plans!$A$2,Base!H165=Plans!$D$1),Plans!$D$2,AND(F165=Plans!$A$3,Base!H165=Plans!$B$1),Plans!$B$3,AND(F165=Plans!$A$3,Base!H165=Plans!$C$1),Plans!$C$3,AND(F165=Plans!$A$3,Base!H165=Plans!$D$1),Plans!$D$3,AND(F165=Plans!$A$4,Base!H165=Plans!$B$1),Plans!$B$4,AND(F165=Plans!$A$4,Base!H165=Plans!$C$1),Plans!$C$4,AND(F165=Plans!$A$4,Base!H165=Plans!$D$1),Plans!$D$4,AND(F165=Plans!$A$5,Base!H165=Plans!$B$1),Plans!$B$5,AND(F165=Plans!$A$5,Base!H165=Plans!$C$1),Plans!$C$5,AND(F165=Plans!$A$5,Base!H165=Plans!$D$1),Plans!$D$5)</f>
        <v>39.9</v>
      </c>
      <c r="J165" s="3" t="s">
        <v>143</v>
      </c>
    </row>
    <row r="166" spans="1:10" x14ac:dyDescent="0.35">
      <c r="A166" s="2">
        <v>1488</v>
      </c>
      <c r="B166" s="3" t="s">
        <v>12</v>
      </c>
      <c r="C166" s="3" t="s">
        <v>164</v>
      </c>
      <c r="D166" s="3" t="s">
        <v>134</v>
      </c>
      <c r="E166" s="3" t="s">
        <v>171</v>
      </c>
      <c r="F166" s="3" t="s">
        <v>140</v>
      </c>
      <c r="G166" s="4">
        <v>45761</v>
      </c>
      <c r="H166" s="3" t="s">
        <v>178</v>
      </c>
      <c r="I166" s="9">
        <f>_xlfn.IFS(AND(F166=Plans!$A$2,Base!H166=Plans!$B$1),Plans!$B$2,AND(F166=Plans!$A$2,Base!H166=Plans!$C$1),Plans!$C$2,AND(F166=Plans!$A$2,Base!H166=Plans!$D$1),Plans!$D$2,AND(F166=Plans!$A$3,Base!H166=Plans!$B$1),Plans!$B$3,AND(F166=Plans!$A$3,Base!H166=Plans!$C$1),Plans!$C$3,AND(F166=Plans!$A$3,Base!H166=Plans!$D$1),Plans!$D$3,AND(F166=Plans!$A$4,Base!H166=Plans!$B$1),Plans!$B$4,AND(F166=Plans!$A$4,Base!H166=Plans!$C$1),Plans!$C$4,AND(F166=Plans!$A$4,Base!H166=Plans!$D$1),Plans!$D$4,AND(F166=Plans!$A$5,Base!H166=Plans!$B$1),Plans!$B$5,AND(F166=Plans!$A$5,Base!H166=Plans!$C$1),Plans!$C$5,AND(F166=Plans!$A$5,Base!H166=Plans!$D$1),Plans!$D$5)</f>
        <v>449.9</v>
      </c>
      <c r="J166" s="3" t="s">
        <v>147</v>
      </c>
    </row>
    <row r="167" spans="1:10" x14ac:dyDescent="0.35">
      <c r="A167" s="2">
        <v>1489</v>
      </c>
      <c r="B167" s="3" t="s">
        <v>17</v>
      </c>
      <c r="C167" s="3" t="s">
        <v>165</v>
      </c>
      <c r="D167" s="3" t="s">
        <v>120</v>
      </c>
      <c r="E167" s="3" t="s">
        <v>171</v>
      </c>
      <c r="F167" s="3" t="s">
        <v>142</v>
      </c>
      <c r="G167" s="4">
        <v>45764</v>
      </c>
      <c r="H167" s="3" t="s">
        <v>178</v>
      </c>
      <c r="I167" s="9">
        <f>_xlfn.IFS(AND(F167=Plans!$A$2,Base!H167=Plans!$B$1),Plans!$B$2,AND(F167=Plans!$A$2,Base!H167=Plans!$C$1),Plans!$C$2,AND(F167=Plans!$A$2,Base!H167=Plans!$D$1),Plans!$D$2,AND(F167=Plans!$A$3,Base!H167=Plans!$B$1),Plans!$B$3,AND(F167=Plans!$A$3,Base!H167=Plans!$C$1),Plans!$C$3,AND(F167=Plans!$A$3,Base!H167=Plans!$D$1),Plans!$D$3,AND(F167=Plans!$A$4,Base!H167=Plans!$B$1),Plans!$B$4,AND(F167=Plans!$A$4,Base!H167=Plans!$C$1),Plans!$C$4,AND(F167=Plans!$A$4,Base!H167=Plans!$D$1),Plans!$D$4,AND(F167=Plans!$A$5,Base!H167=Plans!$B$1),Plans!$B$5,AND(F167=Plans!$A$5,Base!H167=Plans!$C$1),Plans!$C$5,AND(F167=Plans!$A$5,Base!H167=Plans!$D$1),Plans!$D$5)</f>
        <v>299.89999999999998</v>
      </c>
      <c r="J167" s="3" t="s">
        <v>150</v>
      </c>
    </row>
    <row r="168" spans="1:10" x14ac:dyDescent="0.35">
      <c r="A168" s="2">
        <v>1490</v>
      </c>
      <c r="B168" s="3" t="s">
        <v>24</v>
      </c>
      <c r="C168" s="3" t="s">
        <v>166</v>
      </c>
      <c r="D168" s="3" t="s">
        <v>124</v>
      </c>
      <c r="E168" s="3" t="s">
        <v>170</v>
      </c>
      <c r="F168" s="3" t="s">
        <v>142</v>
      </c>
      <c r="G168" s="4">
        <v>45767</v>
      </c>
      <c r="H168" s="3" t="s">
        <v>178</v>
      </c>
      <c r="I168" s="9">
        <f>_xlfn.IFS(AND(F168=Plans!$A$2,Base!H168=Plans!$B$1),Plans!$B$2,AND(F168=Plans!$A$2,Base!H168=Plans!$C$1),Plans!$C$2,AND(F168=Plans!$A$2,Base!H168=Plans!$D$1),Plans!$D$2,AND(F168=Plans!$A$3,Base!H168=Plans!$B$1),Plans!$B$3,AND(F168=Plans!$A$3,Base!H168=Plans!$C$1),Plans!$C$3,AND(F168=Plans!$A$3,Base!H168=Plans!$D$1),Plans!$D$3,AND(F168=Plans!$A$4,Base!H168=Plans!$B$1),Plans!$B$4,AND(F168=Plans!$A$4,Base!H168=Plans!$C$1),Plans!$C$4,AND(F168=Plans!$A$4,Base!H168=Plans!$D$1),Plans!$D$4,AND(F168=Plans!$A$5,Base!H168=Plans!$B$1),Plans!$B$5,AND(F168=Plans!$A$5,Base!H168=Plans!$C$1),Plans!$C$5,AND(F168=Plans!$A$5,Base!H168=Plans!$D$1),Plans!$D$5)</f>
        <v>299.89999999999998</v>
      </c>
      <c r="J168" s="3" t="s">
        <v>151</v>
      </c>
    </row>
    <row r="169" spans="1:10" x14ac:dyDescent="0.35">
      <c r="A169" s="2">
        <v>1491</v>
      </c>
      <c r="B169" s="3" t="s">
        <v>102</v>
      </c>
      <c r="C169" s="3" t="s">
        <v>164</v>
      </c>
      <c r="D169" s="3" t="s">
        <v>127</v>
      </c>
      <c r="E169" s="3" t="s">
        <v>171</v>
      </c>
      <c r="F169" s="3" t="s">
        <v>141</v>
      </c>
      <c r="G169" s="4">
        <v>45852</v>
      </c>
      <c r="H169" s="3" t="s">
        <v>162</v>
      </c>
      <c r="I169" s="9">
        <f>_xlfn.IFS(AND(F169=Plans!$A$2,Base!H169=Plans!$B$1),Plans!$B$2,AND(F169=Plans!$A$2,Base!H169=Plans!$C$1),Plans!$C$2,AND(F169=Plans!$A$2,Base!H169=Plans!$D$1),Plans!$D$2,AND(F169=Plans!$A$3,Base!H169=Plans!$B$1),Plans!$B$3,AND(F169=Plans!$A$3,Base!H169=Plans!$C$1),Plans!$C$3,AND(F169=Plans!$A$3,Base!H169=Plans!$D$1),Plans!$D$3,AND(F169=Plans!$A$4,Base!H169=Plans!$B$1),Plans!$B$4,AND(F169=Plans!$A$4,Base!H169=Plans!$C$1),Plans!$C$4,AND(F169=Plans!$A$4,Base!H169=Plans!$D$1),Plans!$D$4,AND(F169=Plans!$A$5,Base!H169=Plans!$B$1),Plans!$B$5,AND(F169=Plans!$A$5,Base!H169=Plans!$C$1),Plans!$C$5,AND(F169=Plans!$A$5,Base!H169=Plans!$D$1),Plans!$D$5)</f>
        <v>24.9</v>
      </c>
      <c r="J169" s="3" t="s">
        <v>149</v>
      </c>
    </row>
    <row r="170" spans="1:10" x14ac:dyDescent="0.35">
      <c r="A170" s="2">
        <v>1492</v>
      </c>
      <c r="B170" s="3" t="s">
        <v>108</v>
      </c>
      <c r="C170" s="3" t="s">
        <v>165</v>
      </c>
      <c r="D170" s="3" t="s">
        <v>128</v>
      </c>
      <c r="E170" s="3" t="s">
        <v>171</v>
      </c>
      <c r="F170" s="3" t="s">
        <v>141</v>
      </c>
      <c r="G170" s="4">
        <v>45719</v>
      </c>
      <c r="H170" s="3" t="s">
        <v>178</v>
      </c>
      <c r="I170" s="9">
        <f>_xlfn.IFS(AND(F170=Plans!$A$2,Base!H170=Plans!$B$1),Plans!$B$2,AND(F170=Plans!$A$2,Base!H170=Plans!$C$1),Plans!$C$2,AND(F170=Plans!$A$2,Base!H170=Plans!$D$1),Plans!$D$2,AND(F170=Plans!$A$3,Base!H170=Plans!$B$1),Plans!$B$3,AND(F170=Plans!$A$3,Base!H170=Plans!$C$1),Plans!$C$3,AND(F170=Plans!$A$3,Base!H170=Plans!$D$1),Plans!$D$3,AND(F170=Plans!$A$4,Base!H170=Plans!$B$1),Plans!$B$4,AND(F170=Plans!$A$4,Base!H170=Plans!$C$1),Plans!$C$4,AND(F170=Plans!$A$4,Base!H170=Plans!$D$1),Plans!$D$4,AND(F170=Plans!$A$5,Base!H170=Plans!$B$1),Plans!$B$5,AND(F170=Plans!$A$5,Base!H170=Plans!$C$1),Plans!$C$5,AND(F170=Plans!$A$5,Base!H170=Plans!$D$1),Plans!$D$5)</f>
        <v>199.9</v>
      </c>
      <c r="J170" s="3" t="s">
        <v>145</v>
      </c>
    </row>
    <row r="171" spans="1:10" x14ac:dyDescent="0.35">
      <c r="A171" s="2">
        <v>1493</v>
      </c>
      <c r="B171" s="3" t="s">
        <v>109</v>
      </c>
      <c r="C171" s="3" t="s">
        <v>164</v>
      </c>
      <c r="D171" s="3" t="s">
        <v>122</v>
      </c>
      <c r="E171" s="3" t="s">
        <v>170</v>
      </c>
      <c r="F171" s="3" t="s">
        <v>139</v>
      </c>
      <c r="G171" s="4">
        <v>45721</v>
      </c>
      <c r="H171" s="3" t="s">
        <v>162</v>
      </c>
      <c r="I171" s="9">
        <f>_xlfn.IFS(AND(F171=Plans!$A$2,Base!H171=Plans!$B$1),Plans!$B$2,AND(F171=Plans!$A$2,Base!H171=Plans!$C$1),Plans!$C$2,AND(F171=Plans!$A$2,Base!H171=Plans!$D$1),Plans!$D$2,AND(F171=Plans!$A$3,Base!H171=Plans!$B$1),Plans!$B$3,AND(F171=Plans!$A$3,Base!H171=Plans!$C$1),Plans!$C$3,AND(F171=Plans!$A$3,Base!H171=Plans!$D$1),Plans!$D$3,AND(F171=Plans!$A$4,Base!H171=Plans!$B$1),Plans!$B$4,AND(F171=Plans!$A$4,Base!H171=Plans!$C$1),Plans!$C$4,AND(F171=Plans!$A$4,Base!H171=Plans!$D$1),Plans!$D$4,AND(F171=Plans!$A$5,Base!H171=Plans!$B$1),Plans!$B$5,AND(F171=Plans!$A$5,Base!H171=Plans!$C$1),Plans!$C$5,AND(F171=Plans!$A$5,Base!H171=Plans!$D$1),Plans!$D$5)</f>
        <v>74.900000000000006</v>
      </c>
      <c r="J171" s="3" t="s">
        <v>144</v>
      </c>
    </row>
    <row r="172" spans="1:10" x14ac:dyDescent="0.35">
      <c r="A172" s="2">
        <v>1494</v>
      </c>
      <c r="B172" s="3" t="s">
        <v>90</v>
      </c>
      <c r="C172" s="3" t="s">
        <v>165</v>
      </c>
      <c r="D172" s="3" t="s">
        <v>133</v>
      </c>
      <c r="E172" s="3" t="s">
        <v>174</v>
      </c>
      <c r="F172" s="3" t="s">
        <v>139</v>
      </c>
      <c r="G172" s="4">
        <v>45724</v>
      </c>
      <c r="H172" s="3" t="s">
        <v>178</v>
      </c>
      <c r="I172" s="9">
        <f>_xlfn.IFS(AND(F172=Plans!$A$2,Base!H172=Plans!$B$1),Plans!$B$2,AND(F172=Plans!$A$2,Base!H172=Plans!$C$1),Plans!$C$2,AND(F172=Plans!$A$2,Base!H172=Plans!$D$1),Plans!$D$2,AND(F172=Plans!$A$3,Base!H172=Plans!$B$1),Plans!$B$3,AND(F172=Plans!$A$3,Base!H172=Plans!$C$1),Plans!$C$3,AND(F172=Plans!$A$3,Base!H172=Plans!$D$1),Plans!$D$3,AND(F172=Plans!$A$4,Base!H172=Plans!$B$1),Plans!$B$4,AND(F172=Plans!$A$4,Base!H172=Plans!$C$1),Plans!$C$4,AND(F172=Plans!$A$4,Base!H172=Plans!$D$1),Plans!$D$4,AND(F172=Plans!$A$5,Base!H172=Plans!$B$1),Plans!$B$5,AND(F172=Plans!$A$5,Base!H172=Plans!$C$1),Plans!$C$5,AND(F172=Plans!$A$5,Base!H172=Plans!$D$1),Plans!$D$5)</f>
        <v>599.9</v>
      </c>
      <c r="J172" s="3" t="s">
        <v>144</v>
      </c>
    </row>
    <row r="173" spans="1:10" x14ac:dyDescent="0.35">
      <c r="A173" s="2">
        <v>1495</v>
      </c>
      <c r="B173" s="3" t="s">
        <v>110</v>
      </c>
      <c r="C173" s="3" t="s">
        <v>165</v>
      </c>
      <c r="D173" s="3" t="s">
        <v>130</v>
      </c>
      <c r="E173" s="3" t="s">
        <v>171</v>
      </c>
      <c r="F173" s="3" t="s">
        <v>142</v>
      </c>
      <c r="G173" s="4">
        <v>45727</v>
      </c>
      <c r="H173" s="3" t="s">
        <v>162</v>
      </c>
      <c r="I173" s="9">
        <f>_xlfn.IFS(AND(F173=Plans!$A$2,Base!H173=Plans!$B$1),Plans!$B$2,AND(F173=Plans!$A$2,Base!H173=Plans!$C$1),Plans!$C$2,AND(F173=Plans!$A$2,Base!H173=Plans!$D$1),Plans!$D$2,AND(F173=Plans!$A$3,Base!H173=Plans!$B$1),Plans!$B$3,AND(F173=Plans!$A$3,Base!H173=Plans!$C$1),Plans!$C$3,AND(F173=Plans!$A$3,Base!H173=Plans!$D$1),Plans!$D$3,AND(F173=Plans!$A$4,Base!H173=Plans!$B$1),Plans!$B$4,AND(F173=Plans!$A$4,Base!H173=Plans!$C$1),Plans!$C$4,AND(F173=Plans!$A$4,Base!H173=Plans!$D$1),Plans!$D$4,AND(F173=Plans!$A$5,Base!H173=Plans!$B$1),Plans!$B$5,AND(F173=Plans!$A$5,Base!H173=Plans!$C$1),Plans!$C$5,AND(F173=Plans!$A$5,Base!H173=Plans!$D$1),Plans!$D$5)</f>
        <v>39.9</v>
      </c>
      <c r="J173" s="3" t="s">
        <v>151</v>
      </c>
    </row>
    <row r="174" spans="1:10" x14ac:dyDescent="0.35">
      <c r="A174" s="2">
        <v>1496</v>
      </c>
      <c r="B174" s="3" t="s">
        <v>111</v>
      </c>
      <c r="C174" s="3" t="s">
        <v>164</v>
      </c>
      <c r="D174" s="3" t="s">
        <v>119</v>
      </c>
      <c r="E174" s="3" t="s">
        <v>170</v>
      </c>
      <c r="F174" s="3" t="s">
        <v>142</v>
      </c>
      <c r="G174" s="4">
        <v>45730</v>
      </c>
      <c r="H174" s="3" t="s">
        <v>162</v>
      </c>
      <c r="I174" s="9">
        <f>_xlfn.IFS(AND(F174=Plans!$A$2,Base!H174=Plans!$B$1),Plans!$B$2,AND(F174=Plans!$A$2,Base!H174=Plans!$C$1),Plans!$C$2,AND(F174=Plans!$A$2,Base!H174=Plans!$D$1),Plans!$D$2,AND(F174=Plans!$A$3,Base!H174=Plans!$B$1),Plans!$B$3,AND(F174=Plans!$A$3,Base!H174=Plans!$C$1),Plans!$C$3,AND(F174=Plans!$A$3,Base!H174=Plans!$D$1),Plans!$D$3,AND(F174=Plans!$A$4,Base!H174=Plans!$B$1),Plans!$B$4,AND(F174=Plans!$A$4,Base!H174=Plans!$C$1),Plans!$C$4,AND(F174=Plans!$A$4,Base!H174=Plans!$D$1),Plans!$D$4,AND(F174=Plans!$A$5,Base!H174=Plans!$B$1),Plans!$B$5,AND(F174=Plans!$A$5,Base!H174=Plans!$C$1),Plans!$C$5,AND(F174=Plans!$A$5,Base!H174=Plans!$D$1),Plans!$D$5)</f>
        <v>39.9</v>
      </c>
      <c r="J174" s="3" t="s">
        <v>151</v>
      </c>
    </row>
    <row r="175" spans="1:10" x14ac:dyDescent="0.35">
      <c r="A175" s="2">
        <v>1497</v>
      </c>
      <c r="B175" s="3" t="s">
        <v>71</v>
      </c>
      <c r="C175" s="3" t="s">
        <v>164</v>
      </c>
      <c r="D175" s="3" t="s">
        <v>128</v>
      </c>
      <c r="E175" s="3" t="s">
        <v>171</v>
      </c>
      <c r="F175" s="3" t="s">
        <v>141</v>
      </c>
      <c r="G175" s="4">
        <v>45733</v>
      </c>
      <c r="H175" s="3" t="s">
        <v>162</v>
      </c>
      <c r="I175" s="9">
        <f>_xlfn.IFS(AND(F175=Plans!$A$2,Base!H175=Plans!$B$1),Plans!$B$2,AND(F175=Plans!$A$2,Base!H175=Plans!$C$1),Plans!$C$2,AND(F175=Plans!$A$2,Base!H175=Plans!$D$1),Plans!$D$2,AND(F175=Plans!$A$3,Base!H175=Plans!$B$1),Plans!$B$3,AND(F175=Plans!$A$3,Base!H175=Plans!$C$1),Plans!$C$3,AND(F175=Plans!$A$3,Base!H175=Plans!$D$1),Plans!$D$3,AND(F175=Plans!$A$4,Base!H175=Plans!$B$1),Plans!$B$4,AND(F175=Plans!$A$4,Base!H175=Plans!$C$1),Plans!$C$4,AND(F175=Plans!$A$4,Base!H175=Plans!$D$1),Plans!$D$4,AND(F175=Plans!$A$5,Base!H175=Plans!$B$1),Plans!$B$5,AND(F175=Plans!$A$5,Base!H175=Plans!$C$1),Plans!$C$5,AND(F175=Plans!$A$5,Base!H175=Plans!$D$1),Plans!$D$5)</f>
        <v>24.9</v>
      </c>
      <c r="J175" s="3" t="s">
        <v>163</v>
      </c>
    </row>
    <row r="176" spans="1:10" x14ac:dyDescent="0.35">
      <c r="A176" s="2">
        <v>1498</v>
      </c>
      <c r="B176" s="3" t="s">
        <v>112</v>
      </c>
      <c r="C176" s="3" t="s">
        <v>164</v>
      </c>
      <c r="D176" s="3" t="s">
        <v>121</v>
      </c>
      <c r="E176" s="3" t="s">
        <v>172</v>
      </c>
      <c r="F176" s="3" t="s">
        <v>142</v>
      </c>
      <c r="G176" s="4">
        <v>45736</v>
      </c>
      <c r="H176" s="3" t="s">
        <v>162</v>
      </c>
      <c r="I176" s="9">
        <f>_xlfn.IFS(AND(F176=Plans!$A$2,Base!H176=Plans!$B$1),Plans!$B$2,AND(F176=Plans!$A$2,Base!H176=Plans!$C$1),Plans!$C$2,AND(F176=Plans!$A$2,Base!H176=Plans!$D$1),Plans!$D$2,AND(F176=Plans!$A$3,Base!H176=Plans!$B$1),Plans!$B$3,AND(F176=Plans!$A$3,Base!H176=Plans!$C$1),Plans!$C$3,AND(F176=Plans!$A$3,Base!H176=Plans!$D$1),Plans!$D$3,AND(F176=Plans!$A$4,Base!H176=Plans!$B$1),Plans!$B$4,AND(F176=Plans!$A$4,Base!H176=Plans!$C$1),Plans!$C$4,AND(F176=Plans!$A$4,Base!H176=Plans!$D$1),Plans!$D$4,AND(F176=Plans!$A$5,Base!H176=Plans!$B$1),Plans!$B$5,AND(F176=Plans!$A$5,Base!H176=Plans!$C$1),Plans!$C$5,AND(F176=Plans!$A$5,Base!H176=Plans!$D$1),Plans!$D$5)</f>
        <v>39.9</v>
      </c>
      <c r="J176" s="3" t="s">
        <v>150</v>
      </c>
    </row>
    <row r="177" spans="1:10" x14ac:dyDescent="0.35">
      <c r="A177" s="2">
        <v>1499</v>
      </c>
      <c r="B177" s="3" t="s">
        <v>46</v>
      </c>
      <c r="C177" s="3" t="s">
        <v>166</v>
      </c>
      <c r="D177" s="3" t="s">
        <v>137</v>
      </c>
      <c r="E177" s="3" t="s">
        <v>170</v>
      </c>
      <c r="F177" s="3" t="s">
        <v>141</v>
      </c>
      <c r="G177" s="4">
        <v>45752</v>
      </c>
      <c r="H177" s="3" t="s">
        <v>162</v>
      </c>
      <c r="I177" s="9">
        <f>_xlfn.IFS(AND(F177=Plans!$A$2,Base!H177=Plans!$B$1),Plans!$B$2,AND(F177=Plans!$A$2,Base!H177=Plans!$C$1),Plans!$C$2,AND(F177=Plans!$A$2,Base!H177=Plans!$D$1),Plans!$D$2,AND(F177=Plans!$A$3,Base!H177=Plans!$B$1),Plans!$B$3,AND(F177=Plans!$A$3,Base!H177=Plans!$C$1),Plans!$C$3,AND(F177=Plans!$A$3,Base!H177=Plans!$D$1),Plans!$D$3,AND(F177=Plans!$A$4,Base!H177=Plans!$B$1),Plans!$B$4,AND(F177=Plans!$A$4,Base!H177=Plans!$C$1),Plans!$C$4,AND(F177=Plans!$A$4,Base!H177=Plans!$D$1),Plans!$D$4,AND(F177=Plans!$A$5,Base!H177=Plans!$B$1),Plans!$B$5,AND(F177=Plans!$A$5,Base!H177=Plans!$C$1),Plans!$C$5,AND(F177=Plans!$A$5,Base!H177=Plans!$D$1),Plans!$D$5)</f>
        <v>24.9</v>
      </c>
      <c r="J177" s="3" t="s">
        <v>147</v>
      </c>
    </row>
    <row r="178" spans="1:10" x14ac:dyDescent="0.35">
      <c r="A178" s="2">
        <v>1500</v>
      </c>
      <c r="B178" s="3" t="s">
        <v>113</v>
      </c>
      <c r="C178" s="3" t="s">
        <v>164</v>
      </c>
      <c r="D178" s="3" t="s">
        <v>133</v>
      </c>
      <c r="E178" s="3" t="s">
        <v>174</v>
      </c>
      <c r="F178" s="3" t="s">
        <v>141</v>
      </c>
      <c r="G178" s="4">
        <v>45755</v>
      </c>
      <c r="H178" s="3" t="s">
        <v>178</v>
      </c>
      <c r="I178" s="9">
        <f>_xlfn.IFS(AND(F178=Plans!$A$2,Base!H178=Plans!$B$1),Plans!$B$2,AND(F178=Plans!$A$2,Base!H178=Plans!$C$1),Plans!$C$2,AND(F178=Plans!$A$2,Base!H178=Plans!$D$1),Plans!$D$2,AND(F178=Plans!$A$3,Base!H178=Plans!$B$1),Plans!$B$3,AND(F178=Plans!$A$3,Base!H178=Plans!$C$1),Plans!$C$3,AND(F178=Plans!$A$3,Base!H178=Plans!$D$1),Plans!$D$3,AND(F178=Plans!$A$4,Base!H178=Plans!$B$1),Plans!$B$4,AND(F178=Plans!$A$4,Base!H178=Plans!$C$1),Plans!$C$4,AND(F178=Plans!$A$4,Base!H178=Plans!$D$1),Plans!$D$4,AND(F178=Plans!$A$5,Base!H178=Plans!$B$1),Plans!$B$5,AND(F178=Plans!$A$5,Base!H178=Plans!$C$1),Plans!$C$5,AND(F178=Plans!$A$5,Base!H178=Plans!$D$1),Plans!$D$5)</f>
        <v>199.9</v>
      </c>
      <c r="J178" s="3" t="s">
        <v>152</v>
      </c>
    </row>
    <row r="179" spans="1:10" x14ac:dyDescent="0.35">
      <c r="A179" s="2">
        <v>1501</v>
      </c>
      <c r="B179" s="3" t="s">
        <v>91</v>
      </c>
      <c r="C179" s="3" t="s">
        <v>164</v>
      </c>
      <c r="D179" s="3" t="s">
        <v>138</v>
      </c>
      <c r="E179" s="3" t="s">
        <v>171</v>
      </c>
      <c r="F179" s="3" t="s">
        <v>140</v>
      </c>
      <c r="G179" s="4">
        <v>45758</v>
      </c>
      <c r="H179" s="3" t="s">
        <v>178</v>
      </c>
      <c r="I179" s="9">
        <f>_xlfn.IFS(AND(F179=Plans!$A$2,Base!H179=Plans!$B$1),Plans!$B$2,AND(F179=Plans!$A$2,Base!H179=Plans!$C$1),Plans!$C$2,AND(F179=Plans!$A$2,Base!H179=Plans!$D$1),Plans!$D$2,AND(F179=Plans!$A$3,Base!H179=Plans!$B$1),Plans!$B$3,AND(F179=Plans!$A$3,Base!H179=Plans!$C$1),Plans!$C$3,AND(F179=Plans!$A$3,Base!H179=Plans!$D$1),Plans!$D$3,AND(F179=Plans!$A$4,Base!H179=Plans!$B$1),Plans!$B$4,AND(F179=Plans!$A$4,Base!H179=Plans!$C$1),Plans!$C$4,AND(F179=Plans!$A$4,Base!H179=Plans!$D$1),Plans!$D$4,AND(F179=Plans!$A$5,Base!H179=Plans!$B$1),Plans!$B$5,AND(F179=Plans!$A$5,Base!H179=Plans!$C$1),Plans!$C$5,AND(F179=Plans!$A$5,Base!H179=Plans!$D$1),Plans!$D$5)</f>
        <v>449.9</v>
      </c>
      <c r="J179" s="3" t="s">
        <v>152</v>
      </c>
    </row>
    <row r="180" spans="1:10" x14ac:dyDescent="0.35">
      <c r="A180" s="2">
        <v>1502</v>
      </c>
      <c r="B180" s="3" t="s">
        <v>114</v>
      </c>
      <c r="C180" s="3" t="s">
        <v>165</v>
      </c>
      <c r="D180" s="3" t="s">
        <v>130</v>
      </c>
      <c r="E180" s="3" t="s">
        <v>171</v>
      </c>
      <c r="F180" s="3" t="s">
        <v>140</v>
      </c>
      <c r="G180" s="4">
        <v>45761</v>
      </c>
      <c r="H180" s="3" t="s">
        <v>161</v>
      </c>
      <c r="I180" s="9">
        <f>_xlfn.IFS(AND(F180=Plans!$A$2,Base!H180=Plans!$B$1),Plans!$B$2,AND(F180=Plans!$A$2,Base!H180=Plans!$C$1),Plans!$C$2,AND(F180=Plans!$A$2,Base!H180=Plans!$D$1),Plans!$D$2,AND(F180=Plans!$A$3,Base!H180=Plans!$B$1),Plans!$B$3,AND(F180=Plans!$A$3,Base!H180=Plans!$C$1),Plans!$C$3,AND(F180=Plans!$A$3,Base!H180=Plans!$D$1),Plans!$D$3,AND(F180=Plans!$A$4,Base!H180=Plans!$B$1),Plans!$B$4,AND(F180=Plans!$A$4,Base!H180=Plans!$C$1),Plans!$C$4,AND(F180=Plans!$A$4,Base!H180=Plans!$D$1),Plans!$D$4,AND(F180=Plans!$A$5,Base!H180=Plans!$B$1),Plans!$B$5,AND(F180=Plans!$A$5,Base!H180=Plans!$C$1),Plans!$C$5,AND(F180=Plans!$A$5,Base!H180=Plans!$D$1),Plans!$D$5)</f>
        <v>349.9</v>
      </c>
      <c r="J180" s="3" t="s">
        <v>143</v>
      </c>
    </row>
    <row r="181" spans="1:10" x14ac:dyDescent="0.35">
      <c r="A181" s="2">
        <v>1503</v>
      </c>
      <c r="B181" s="3" t="s">
        <v>62</v>
      </c>
      <c r="C181" s="3" t="s">
        <v>165</v>
      </c>
      <c r="D181" s="3" t="s">
        <v>129</v>
      </c>
      <c r="E181" s="3" t="s">
        <v>171</v>
      </c>
      <c r="F181" s="3" t="s">
        <v>140</v>
      </c>
      <c r="G181" s="4">
        <v>45764</v>
      </c>
      <c r="H181" s="3" t="s">
        <v>178</v>
      </c>
      <c r="I181" s="9">
        <f>_xlfn.IFS(AND(F181=Plans!$A$2,Base!H181=Plans!$B$1),Plans!$B$2,AND(F181=Plans!$A$2,Base!H181=Plans!$C$1),Plans!$C$2,AND(F181=Plans!$A$2,Base!H181=Plans!$D$1),Plans!$D$2,AND(F181=Plans!$A$3,Base!H181=Plans!$B$1),Plans!$B$3,AND(F181=Plans!$A$3,Base!H181=Plans!$C$1),Plans!$C$3,AND(F181=Plans!$A$3,Base!H181=Plans!$D$1),Plans!$D$3,AND(F181=Plans!$A$4,Base!H181=Plans!$B$1),Plans!$B$4,AND(F181=Plans!$A$4,Base!H181=Plans!$C$1),Plans!$C$4,AND(F181=Plans!$A$4,Base!H181=Plans!$D$1),Plans!$D$4,AND(F181=Plans!$A$5,Base!H181=Plans!$B$1),Plans!$B$5,AND(F181=Plans!$A$5,Base!H181=Plans!$C$1),Plans!$C$5,AND(F181=Plans!$A$5,Base!H181=Plans!$D$1),Plans!$D$5)</f>
        <v>449.9</v>
      </c>
      <c r="J181" s="3" t="s">
        <v>152</v>
      </c>
    </row>
    <row r="182" spans="1:10" x14ac:dyDescent="0.35">
      <c r="A182" s="2">
        <v>1504</v>
      </c>
      <c r="B182" s="3" t="s">
        <v>28</v>
      </c>
      <c r="C182" s="3" t="s">
        <v>165</v>
      </c>
      <c r="D182" s="3" t="s">
        <v>119</v>
      </c>
      <c r="E182" s="3" t="s">
        <v>170</v>
      </c>
      <c r="F182" s="3" t="s">
        <v>140</v>
      </c>
      <c r="G182" s="4">
        <v>45767</v>
      </c>
      <c r="H182" s="3" t="s">
        <v>178</v>
      </c>
      <c r="I182" s="9">
        <f>_xlfn.IFS(AND(F182=Plans!$A$2,Base!H182=Plans!$B$1),Plans!$B$2,AND(F182=Plans!$A$2,Base!H182=Plans!$C$1),Plans!$C$2,AND(F182=Plans!$A$2,Base!H182=Plans!$D$1),Plans!$D$2,AND(F182=Plans!$A$3,Base!H182=Plans!$B$1),Plans!$B$3,AND(F182=Plans!$A$3,Base!H182=Plans!$C$1),Plans!$C$3,AND(F182=Plans!$A$3,Base!H182=Plans!$D$1),Plans!$D$3,AND(F182=Plans!$A$4,Base!H182=Plans!$B$1),Plans!$B$4,AND(F182=Plans!$A$4,Base!H182=Plans!$C$1),Plans!$C$4,AND(F182=Plans!$A$4,Base!H182=Plans!$D$1),Plans!$D$4,AND(F182=Plans!$A$5,Base!H182=Plans!$B$1),Plans!$B$5,AND(F182=Plans!$A$5,Base!H182=Plans!$C$1),Plans!$C$5,AND(F182=Plans!$A$5,Base!H182=Plans!$D$1),Plans!$D$5)</f>
        <v>449.9</v>
      </c>
      <c r="J182" s="3" t="s">
        <v>163</v>
      </c>
    </row>
    <row r="183" spans="1:10" x14ac:dyDescent="0.35">
      <c r="A183" s="2">
        <v>1505</v>
      </c>
      <c r="B183" s="3" t="s">
        <v>30</v>
      </c>
      <c r="C183" s="3" t="s">
        <v>164</v>
      </c>
      <c r="D183" s="3" t="s">
        <v>136</v>
      </c>
      <c r="E183" s="3" t="s">
        <v>173</v>
      </c>
      <c r="F183" s="3" t="s">
        <v>142</v>
      </c>
      <c r="G183" s="4">
        <v>45752</v>
      </c>
      <c r="H183" s="3" t="s">
        <v>178</v>
      </c>
      <c r="I183" s="9">
        <f>_xlfn.IFS(AND(F183=Plans!$A$2,Base!H183=Plans!$B$1),Plans!$B$2,AND(F183=Plans!$A$2,Base!H183=Plans!$C$1),Plans!$C$2,AND(F183=Plans!$A$2,Base!H183=Plans!$D$1),Plans!$D$2,AND(F183=Plans!$A$3,Base!H183=Plans!$B$1),Plans!$B$3,AND(F183=Plans!$A$3,Base!H183=Plans!$C$1),Plans!$C$3,AND(F183=Plans!$A$3,Base!H183=Plans!$D$1),Plans!$D$3,AND(F183=Plans!$A$4,Base!H183=Plans!$B$1),Plans!$B$4,AND(F183=Plans!$A$4,Base!H183=Plans!$C$1),Plans!$C$4,AND(F183=Plans!$A$4,Base!H183=Plans!$D$1),Plans!$D$4,AND(F183=Plans!$A$5,Base!H183=Plans!$B$1),Plans!$B$5,AND(F183=Plans!$A$5,Base!H183=Plans!$C$1),Plans!$C$5,AND(F183=Plans!$A$5,Base!H183=Plans!$D$1),Plans!$D$5)</f>
        <v>299.89999999999998</v>
      </c>
      <c r="J183" s="3" t="s">
        <v>150</v>
      </c>
    </row>
    <row r="184" spans="1:10" x14ac:dyDescent="0.35">
      <c r="A184" s="2">
        <v>1506</v>
      </c>
      <c r="B184" s="3" t="s">
        <v>115</v>
      </c>
      <c r="C184" s="3" t="s">
        <v>164</v>
      </c>
      <c r="D184" s="3" t="s">
        <v>133</v>
      </c>
      <c r="E184" s="3" t="s">
        <v>174</v>
      </c>
      <c r="F184" s="3" t="s">
        <v>139</v>
      </c>
      <c r="G184" s="4">
        <v>45755</v>
      </c>
      <c r="H184" s="3" t="s">
        <v>162</v>
      </c>
      <c r="I184" s="9">
        <f>_xlfn.IFS(AND(F184=Plans!$A$2,Base!H184=Plans!$B$1),Plans!$B$2,AND(F184=Plans!$A$2,Base!H184=Plans!$C$1),Plans!$C$2,AND(F184=Plans!$A$2,Base!H184=Plans!$D$1),Plans!$D$2,AND(F184=Plans!$A$3,Base!H184=Plans!$B$1),Plans!$B$3,AND(F184=Plans!$A$3,Base!H184=Plans!$C$1),Plans!$C$3,AND(F184=Plans!$A$3,Base!H184=Plans!$D$1),Plans!$D$3,AND(F184=Plans!$A$4,Base!H184=Plans!$B$1),Plans!$B$4,AND(F184=Plans!$A$4,Base!H184=Plans!$C$1),Plans!$C$4,AND(F184=Plans!$A$4,Base!H184=Plans!$D$1),Plans!$D$4,AND(F184=Plans!$A$5,Base!H184=Plans!$B$1),Plans!$B$5,AND(F184=Plans!$A$5,Base!H184=Plans!$C$1),Plans!$C$5,AND(F184=Plans!$A$5,Base!H184=Plans!$D$1),Plans!$D$5)</f>
        <v>74.900000000000006</v>
      </c>
      <c r="J184" s="3" t="s">
        <v>163</v>
      </c>
    </row>
    <row r="185" spans="1:10" x14ac:dyDescent="0.35">
      <c r="A185" s="2">
        <v>1507</v>
      </c>
      <c r="B185" s="3" t="s">
        <v>2</v>
      </c>
      <c r="C185" s="3" t="s">
        <v>164</v>
      </c>
      <c r="D185" s="3" t="s">
        <v>122</v>
      </c>
      <c r="E185" s="3" t="s">
        <v>170</v>
      </c>
      <c r="F185" s="3" t="s">
        <v>142</v>
      </c>
      <c r="G185" s="4">
        <v>45758</v>
      </c>
      <c r="H185" s="3" t="s">
        <v>178</v>
      </c>
      <c r="I185" s="9">
        <f>_xlfn.IFS(AND(F185=Plans!$A$2,Base!H185=Plans!$B$1),Plans!$B$2,AND(F185=Plans!$A$2,Base!H185=Plans!$C$1),Plans!$C$2,AND(F185=Plans!$A$2,Base!H185=Plans!$D$1),Plans!$D$2,AND(F185=Plans!$A$3,Base!H185=Plans!$B$1),Plans!$B$3,AND(F185=Plans!$A$3,Base!H185=Plans!$C$1),Plans!$C$3,AND(F185=Plans!$A$3,Base!H185=Plans!$D$1),Plans!$D$3,AND(F185=Plans!$A$4,Base!H185=Plans!$B$1),Plans!$B$4,AND(F185=Plans!$A$4,Base!H185=Plans!$C$1),Plans!$C$4,AND(F185=Plans!$A$4,Base!H185=Plans!$D$1),Plans!$D$4,AND(F185=Plans!$A$5,Base!H185=Plans!$B$1),Plans!$B$5,AND(F185=Plans!$A$5,Base!H185=Plans!$C$1),Plans!$C$5,AND(F185=Plans!$A$5,Base!H185=Plans!$D$1),Plans!$D$5)</f>
        <v>299.89999999999998</v>
      </c>
      <c r="J185" s="3" t="s">
        <v>151</v>
      </c>
    </row>
    <row r="186" spans="1:10" x14ac:dyDescent="0.35">
      <c r="A186" s="2">
        <v>1508</v>
      </c>
      <c r="B186" s="3" t="s">
        <v>94</v>
      </c>
      <c r="C186" s="3" t="s">
        <v>164</v>
      </c>
      <c r="D186" s="3" t="s">
        <v>138</v>
      </c>
      <c r="E186" s="3" t="s">
        <v>171</v>
      </c>
      <c r="F186" s="3" t="s">
        <v>140</v>
      </c>
      <c r="G186" s="4">
        <v>45761</v>
      </c>
      <c r="H186" s="3" t="s">
        <v>162</v>
      </c>
      <c r="I186" s="9">
        <f>_xlfn.IFS(AND(F186=Plans!$A$2,Base!H186=Plans!$B$1),Plans!$B$2,AND(F186=Plans!$A$2,Base!H186=Plans!$C$1),Plans!$C$2,AND(F186=Plans!$A$2,Base!H186=Plans!$D$1),Plans!$D$2,AND(F186=Plans!$A$3,Base!H186=Plans!$B$1),Plans!$B$3,AND(F186=Plans!$A$3,Base!H186=Plans!$C$1),Plans!$C$3,AND(F186=Plans!$A$3,Base!H186=Plans!$D$1),Plans!$D$3,AND(F186=Plans!$A$4,Base!H186=Plans!$B$1),Plans!$B$4,AND(F186=Plans!$A$4,Base!H186=Plans!$C$1),Plans!$C$4,AND(F186=Plans!$A$4,Base!H186=Plans!$D$1),Plans!$D$4,AND(F186=Plans!$A$5,Base!H186=Plans!$B$1),Plans!$B$5,AND(F186=Plans!$A$5,Base!H186=Plans!$C$1),Plans!$C$5,AND(F186=Plans!$A$5,Base!H186=Plans!$D$1),Plans!$D$5)</f>
        <v>54.9</v>
      </c>
      <c r="J186" s="3" t="s">
        <v>163</v>
      </c>
    </row>
    <row r="187" spans="1:10" x14ac:dyDescent="0.35">
      <c r="A187" s="2">
        <v>1509</v>
      </c>
      <c r="B187" s="3" t="s">
        <v>79</v>
      </c>
      <c r="C187" s="3" t="s">
        <v>166</v>
      </c>
      <c r="D187" s="3" t="s">
        <v>138</v>
      </c>
      <c r="E187" s="3" t="s">
        <v>171</v>
      </c>
      <c r="F187" s="3" t="s">
        <v>140</v>
      </c>
      <c r="G187" s="4">
        <v>45764</v>
      </c>
      <c r="H187" s="3" t="s">
        <v>178</v>
      </c>
      <c r="I187" s="9">
        <f>_xlfn.IFS(AND(F187=Plans!$A$2,Base!H187=Plans!$B$1),Plans!$B$2,AND(F187=Plans!$A$2,Base!H187=Plans!$C$1),Plans!$C$2,AND(F187=Plans!$A$2,Base!H187=Plans!$D$1),Plans!$D$2,AND(F187=Plans!$A$3,Base!H187=Plans!$B$1),Plans!$B$3,AND(F187=Plans!$A$3,Base!H187=Plans!$C$1),Plans!$C$3,AND(F187=Plans!$A$3,Base!H187=Plans!$D$1),Plans!$D$3,AND(F187=Plans!$A$4,Base!H187=Plans!$B$1),Plans!$B$4,AND(F187=Plans!$A$4,Base!H187=Plans!$C$1),Plans!$C$4,AND(F187=Plans!$A$4,Base!H187=Plans!$D$1),Plans!$D$4,AND(F187=Plans!$A$5,Base!H187=Plans!$B$1),Plans!$B$5,AND(F187=Plans!$A$5,Base!H187=Plans!$C$1),Plans!$C$5,AND(F187=Plans!$A$5,Base!H187=Plans!$D$1),Plans!$D$5)</f>
        <v>449.9</v>
      </c>
      <c r="J187" s="3" t="s">
        <v>146</v>
      </c>
    </row>
    <row r="188" spans="1:10" x14ac:dyDescent="0.35">
      <c r="A188" s="2">
        <v>1510</v>
      </c>
      <c r="B188" s="3" t="s">
        <v>81</v>
      </c>
      <c r="C188" s="3" t="s">
        <v>165</v>
      </c>
      <c r="D188" s="3" t="s">
        <v>138</v>
      </c>
      <c r="E188" s="3" t="s">
        <v>171</v>
      </c>
      <c r="F188" s="3" t="s">
        <v>142</v>
      </c>
      <c r="G188" s="4">
        <v>45892</v>
      </c>
      <c r="H188" s="3" t="s">
        <v>162</v>
      </c>
      <c r="I188" s="9">
        <f>_xlfn.IFS(AND(F188=Plans!$A$2,Base!H188=Plans!$B$1),Plans!$B$2,AND(F188=Plans!$A$2,Base!H188=Plans!$C$1),Plans!$C$2,AND(F188=Plans!$A$2,Base!H188=Plans!$D$1),Plans!$D$2,AND(F188=Plans!$A$3,Base!H188=Plans!$B$1),Plans!$B$3,AND(F188=Plans!$A$3,Base!H188=Plans!$C$1),Plans!$C$3,AND(F188=Plans!$A$3,Base!H188=Plans!$D$1),Plans!$D$3,AND(F188=Plans!$A$4,Base!H188=Plans!$B$1),Plans!$B$4,AND(F188=Plans!$A$4,Base!H188=Plans!$C$1),Plans!$C$4,AND(F188=Plans!$A$4,Base!H188=Plans!$D$1),Plans!$D$4,AND(F188=Plans!$A$5,Base!H188=Plans!$B$1),Plans!$B$5,AND(F188=Plans!$A$5,Base!H188=Plans!$C$1),Plans!$C$5,AND(F188=Plans!$A$5,Base!H188=Plans!$D$1),Plans!$D$5)</f>
        <v>39.9</v>
      </c>
      <c r="J188" s="3" t="s">
        <v>143</v>
      </c>
    </row>
    <row r="189" spans="1:10" x14ac:dyDescent="0.35">
      <c r="A189" s="2">
        <v>1511</v>
      </c>
      <c r="B189" s="3" t="s">
        <v>8</v>
      </c>
      <c r="C189" s="3" t="s">
        <v>165</v>
      </c>
      <c r="D189" s="3" t="s">
        <v>121</v>
      </c>
      <c r="E189" s="3" t="s">
        <v>172</v>
      </c>
      <c r="F189" s="3" t="s">
        <v>142</v>
      </c>
      <c r="G189" s="4">
        <v>45895</v>
      </c>
      <c r="H189" s="3" t="s">
        <v>178</v>
      </c>
      <c r="I189" s="9">
        <f>_xlfn.IFS(AND(F189=Plans!$A$2,Base!H189=Plans!$B$1),Plans!$B$2,AND(F189=Plans!$A$2,Base!H189=Plans!$C$1),Plans!$C$2,AND(F189=Plans!$A$2,Base!H189=Plans!$D$1),Plans!$D$2,AND(F189=Plans!$A$3,Base!H189=Plans!$B$1),Plans!$B$3,AND(F189=Plans!$A$3,Base!H189=Plans!$C$1),Plans!$C$3,AND(F189=Plans!$A$3,Base!H189=Plans!$D$1),Plans!$D$3,AND(F189=Plans!$A$4,Base!H189=Plans!$B$1),Plans!$B$4,AND(F189=Plans!$A$4,Base!H189=Plans!$C$1),Plans!$C$4,AND(F189=Plans!$A$4,Base!H189=Plans!$D$1),Plans!$D$4,AND(F189=Plans!$A$5,Base!H189=Plans!$B$1),Plans!$B$5,AND(F189=Plans!$A$5,Base!H189=Plans!$C$1),Plans!$C$5,AND(F189=Plans!$A$5,Base!H189=Plans!$D$1),Plans!$D$5)</f>
        <v>299.89999999999998</v>
      </c>
      <c r="J189" s="3" t="s">
        <v>163</v>
      </c>
    </row>
    <row r="190" spans="1:10" x14ac:dyDescent="0.35">
      <c r="A190" s="2">
        <v>1512</v>
      </c>
      <c r="B190" s="3" t="s">
        <v>103</v>
      </c>
      <c r="C190" s="3" t="s">
        <v>164</v>
      </c>
      <c r="D190" s="3" t="s">
        <v>130</v>
      </c>
      <c r="E190" s="3" t="s">
        <v>171</v>
      </c>
      <c r="F190" s="3" t="s">
        <v>141</v>
      </c>
      <c r="G190" s="4">
        <v>45727</v>
      </c>
      <c r="H190" s="3" t="s">
        <v>162</v>
      </c>
      <c r="I190" s="9">
        <f>_xlfn.IFS(AND(F190=Plans!$A$2,Base!H190=Plans!$B$1),Plans!$B$2,AND(F190=Plans!$A$2,Base!H190=Plans!$C$1),Plans!$C$2,AND(F190=Plans!$A$2,Base!H190=Plans!$D$1),Plans!$D$2,AND(F190=Plans!$A$3,Base!H190=Plans!$B$1),Plans!$B$3,AND(F190=Plans!$A$3,Base!H190=Plans!$C$1),Plans!$C$3,AND(F190=Plans!$A$3,Base!H190=Plans!$D$1),Plans!$D$3,AND(F190=Plans!$A$4,Base!H190=Plans!$B$1),Plans!$B$4,AND(F190=Plans!$A$4,Base!H190=Plans!$C$1),Plans!$C$4,AND(F190=Plans!$A$4,Base!H190=Plans!$D$1),Plans!$D$4,AND(F190=Plans!$A$5,Base!H190=Plans!$B$1),Plans!$B$5,AND(F190=Plans!$A$5,Base!H190=Plans!$C$1),Plans!$C$5,AND(F190=Plans!$A$5,Base!H190=Plans!$D$1),Plans!$D$5)</f>
        <v>24.9</v>
      </c>
      <c r="J190" s="3" t="s">
        <v>149</v>
      </c>
    </row>
    <row r="191" spans="1:10" x14ac:dyDescent="0.35">
      <c r="A191" s="2">
        <v>1513</v>
      </c>
      <c r="B191" s="3" t="s">
        <v>116</v>
      </c>
      <c r="C191" s="3" t="s">
        <v>164</v>
      </c>
      <c r="D191" s="3" t="s">
        <v>133</v>
      </c>
      <c r="E191" s="3" t="s">
        <v>174</v>
      </c>
      <c r="F191" s="3" t="s">
        <v>142</v>
      </c>
      <c r="G191" s="4">
        <v>45730</v>
      </c>
      <c r="H191" s="3" t="s">
        <v>162</v>
      </c>
      <c r="I191" s="9">
        <f>_xlfn.IFS(AND(F191=Plans!$A$2,Base!H191=Plans!$B$1),Plans!$B$2,AND(F191=Plans!$A$2,Base!H191=Plans!$C$1),Plans!$C$2,AND(F191=Plans!$A$2,Base!H191=Plans!$D$1),Plans!$D$2,AND(F191=Plans!$A$3,Base!H191=Plans!$B$1),Plans!$B$3,AND(F191=Plans!$A$3,Base!H191=Plans!$C$1),Plans!$C$3,AND(F191=Plans!$A$3,Base!H191=Plans!$D$1),Plans!$D$3,AND(F191=Plans!$A$4,Base!H191=Plans!$B$1),Plans!$B$4,AND(F191=Plans!$A$4,Base!H191=Plans!$C$1),Plans!$C$4,AND(F191=Plans!$A$4,Base!H191=Plans!$D$1),Plans!$D$4,AND(F191=Plans!$A$5,Base!H191=Plans!$B$1),Plans!$B$5,AND(F191=Plans!$A$5,Base!H191=Plans!$C$1),Plans!$C$5,AND(F191=Plans!$A$5,Base!H191=Plans!$D$1),Plans!$D$5)</f>
        <v>39.9</v>
      </c>
      <c r="J191" s="3" t="s">
        <v>152</v>
      </c>
    </row>
    <row r="192" spans="1:10" x14ac:dyDescent="0.35">
      <c r="A192" s="2">
        <v>1514</v>
      </c>
      <c r="B192" s="3" t="s">
        <v>94</v>
      </c>
      <c r="C192" s="3" t="s">
        <v>164</v>
      </c>
      <c r="D192" s="3" t="s">
        <v>119</v>
      </c>
      <c r="E192" s="3" t="s">
        <v>170</v>
      </c>
      <c r="F192" s="3" t="s">
        <v>142</v>
      </c>
      <c r="G192" s="4">
        <v>45733</v>
      </c>
      <c r="H192" s="3" t="s">
        <v>162</v>
      </c>
      <c r="I192" s="9">
        <f>_xlfn.IFS(AND(F192=Plans!$A$2,Base!H192=Plans!$B$1),Plans!$B$2,AND(F192=Plans!$A$2,Base!H192=Plans!$C$1),Plans!$C$2,AND(F192=Plans!$A$2,Base!H192=Plans!$D$1),Plans!$D$2,AND(F192=Plans!$A$3,Base!H192=Plans!$B$1),Plans!$B$3,AND(F192=Plans!$A$3,Base!H192=Plans!$C$1),Plans!$C$3,AND(F192=Plans!$A$3,Base!H192=Plans!$D$1),Plans!$D$3,AND(F192=Plans!$A$4,Base!H192=Plans!$B$1),Plans!$B$4,AND(F192=Plans!$A$4,Base!H192=Plans!$C$1),Plans!$C$4,AND(F192=Plans!$A$4,Base!H192=Plans!$D$1),Plans!$D$4,AND(F192=Plans!$A$5,Base!H192=Plans!$B$1),Plans!$B$5,AND(F192=Plans!$A$5,Base!H192=Plans!$C$1),Plans!$C$5,AND(F192=Plans!$A$5,Base!H192=Plans!$D$1),Plans!$D$5)</f>
        <v>39.9</v>
      </c>
      <c r="J192" s="3" t="s">
        <v>145</v>
      </c>
    </row>
    <row r="193" spans="1:10" x14ac:dyDescent="0.35">
      <c r="A193" s="2">
        <v>1515</v>
      </c>
      <c r="B193" s="3" t="s">
        <v>117</v>
      </c>
      <c r="C193" s="3" t="s">
        <v>164</v>
      </c>
      <c r="D193" s="3" t="s">
        <v>121</v>
      </c>
      <c r="E193" s="3" t="s">
        <v>172</v>
      </c>
      <c r="F193" s="3" t="s">
        <v>139</v>
      </c>
      <c r="G193" s="4">
        <v>45736</v>
      </c>
      <c r="H193" s="3" t="s">
        <v>161</v>
      </c>
      <c r="I193" s="9">
        <f>_xlfn.IFS(AND(F193=Plans!$A$2,Base!H193=Plans!$B$1),Plans!$B$2,AND(F193=Plans!$A$2,Base!H193=Plans!$C$1),Plans!$C$2,AND(F193=Plans!$A$2,Base!H193=Plans!$D$1),Plans!$D$2,AND(F193=Plans!$A$3,Base!H193=Plans!$B$1),Plans!$B$3,AND(F193=Plans!$A$3,Base!H193=Plans!$C$1),Plans!$C$3,AND(F193=Plans!$A$3,Base!H193=Plans!$D$1),Plans!$D$3,AND(F193=Plans!$A$4,Base!H193=Plans!$B$1),Plans!$B$4,AND(F193=Plans!$A$4,Base!H193=Plans!$C$1),Plans!$C$4,AND(F193=Plans!$A$4,Base!H193=Plans!$D$1),Plans!$D$4,AND(F193=Plans!$A$5,Base!H193=Plans!$B$1),Plans!$B$5,AND(F193=Plans!$A$5,Base!H193=Plans!$C$1),Plans!$C$5,AND(F193=Plans!$A$5,Base!H193=Plans!$D$1),Plans!$D$5)</f>
        <v>489.9</v>
      </c>
      <c r="J193" s="3" t="s">
        <v>143</v>
      </c>
    </row>
    <row r="194" spans="1:10" x14ac:dyDescent="0.35">
      <c r="A194" s="2">
        <v>1516</v>
      </c>
      <c r="B194" s="3" t="s">
        <v>10</v>
      </c>
      <c r="C194" s="3" t="s">
        <v>164</v>
      </c>
      <c r="D194" s="3" t="s">
        <v>121</v>
      </c>
      <c r="E194" s="3" t="s">
        <v>172</v>
      </c>
      <c r="F194" s="3" t="s">
        <v>140</v>
      </c>
      <c r="G194" s="4">
        <v>45739</v>
      </c>
      <c r="H194" s="3" t="s">
        <v>162</v>
      </c>
      <c r="I194" s="9">
        <f>_xlfn.IFS(AND(F194=Plans!$A$2,Base!H194=Plans!$B$1),Plans!$B$2,AND(F194=Plans!$A$2,Base!H194=Plans!$C$1),Plans!$C$2,AND(F194=Plans!$A$2,Base!H194=Plans!$D$1),Plans!$D$2,AND(F194=Plans!$A$3,Base!H194=Plans!$B$1),Plans!$B$3,AND(F194=Plans!$A$3,Base!H194=Plans!$C$1),Plans!$C$3,AND(F194=Plans!$A$3,Base!H194=Plans!$D$1),Plans!$D$3,AND(F194=Plans!$A$4,Base!H194=Plans!$B$1),Plans!$B$4,AND(F194=Plans!$A$4,Base!H194=Plans!$C$1),Plans!$C$4,AND(F194=Plans!$A$4,Base!H194=Plans!$D$1),Plans!$D$4,AND(F194=Plans!$A$5,Base!H194=Plans!$B$1),Plans!$B$5,AND(F194=Plans!$A$5,Base!H194=Plans!$C$1),Plans!$C$5,AND(F194=Plans!$A$5,Base!H194=Plans!$D$1),Plans!$D$5)</f>
        <v>54.9</v>
      </c>
      <c r="J194" s="3" t="s">
        <v>163</v>
      </c>
    </row>
    <row r="195" spans="1:10" x14ac:dyDescent="0.35">
      <c r="A195" s="2">
        <v>1517</v>
      </c>
      <c r="B195" s="3" t="s">
        <v>53</v>
      </c>
      <c r="C195" s="3" t="s">
        <v>165</v>
      </c>
      <c r="D195" s="3" t="s">
        <v>123</v>
      </c>
      <c r="E195" s="3" t="s">
        <v>171</v>
      </c>
      <c r="F195" s="3" t="s">
        <v>139</v>
      </c>
      <c r="G195" s="4">
        <v>45742</v>
      </c>
      <c r="H195" s="3" t="s">
        <v>162</v>
      </c>
      <c r="I195" s="9">
        <f>_xlfn.IFS(AND(F195=Plans!$A$2,Base!H195=Plans!$B$1),Plans!$B$2,AND(F195=Plans!$A$2,Base!H195=Plans!$C$1),Plans!$C$2,AND(F195=Plans!$A$2,Base!H195=Plans!$D$1),Plans!$D$2,AND(F195=Plans!$A$3,Base!H195=Plans!$B$1),Plans!$B$3,AND(F195=Plans!$A$3,Base!H195=Plans!$C$1),Plans!$C$3,AND(F195=Plans!$A$3,Base!H195=Plans!$D$1),Plans!$D$3,AND(F195=Plans!$A$4,Base!H195=Plans!$B$1),Plans!$B$4,AND(F195=Plans!$A$4,Base!H195=Plans!$C$1),Plans!$C$4,AND(F195=Plans!$A$4,Base!H195=Plans!$D$1),Plans!$D$4,AND(F195=Plans!$A$5,Base!H195=Plans!$B$1),Plans!$B$5,AND(F195=Plans!$A$5,Base!H195=Plans!$C$1),Plans!$C$5,AND(F195=Plans!$A$5,Base!H195=Plans!$D$1),Plans!$D$5)</f>
        <v>74.900000000000006</v>
      </c>
      <c r="J195" s="3" t="s">
        <v>146</v>
      </c>
    </row>
    <row r="196" spans="1:10" x14ac:dyDescent="0.35">
      <c r="A196" s="2">
        <v>1518</v>
      </c>
      <c r="B196" s="3" t="s">
        <v>50</v>
      </c>
      <c r="C196" s="3" t="s">
        <v>165</v>
      </c>
      <c r="D196" s="3" t="s">
        <v>135</v>
      </c>
      <c r="E196" s="3" t="s">
        <v>172</v>
      </c>
      <c r="F196" s="3" t="s">
        <v>140</v>
      </c>
      <c r="G196" s="4">
        <v>45745</v>
      </c>
      <c r="H196" s="3" t="s">
        <v>162</v>
      </c>
      <c r="I196" s="9">
        <f>_xlfn.IFS(AND(F196=Plans!$A$2,Base!H196=Plans!$B$1),Plans!$B$2,AND(F196=Plans!$A$2,Base!H196=Plans!$C$1),Plans!$C$2,AND(F196=Plans!$A$2,Base!H196=Plans!$D$1),Plans!$D$2,AND(F196=Plans!$A$3,Base!H196=Plans!$B$1),Plans!$B$3,AND(F196=Plans!$A$3,Base!H196=Plans!$C$1),Plans!$C$3,AND(F196=Plans!$A$3,Base!H196=Plans!$D$1),Plans!$D$3,AND(F196=Plans!$A$4,Base!H196=Plans!$B$1),Plans!$B$4,AND(F196=Plans!$A$4,Base!H196=Plans!$C$1),Plans!$C$4,AND(F196=Plans!$A$4,Base!H196=Plans!$D$1),Plans!$D$4,AND(F196=Plans!$A$5,Base!H196=Plans!$B$1),Plans!$B$5,AND(F196=Plans!$A$5,Base!H196=Plans!$C$1),Plans!$C$5,AND(F196=Plans!$A$5,Base!H196=Plans!$D$1),Plans!$D$5)</f>
        <v>54.9</v>
      </c>
      <c r="J196" s="3" t="s">
        <v>147</v>
      </c>
    </row>
    <row r="197" spans="1:10" x14ac:dyDescent="0.35">
      <c r="A197" s="2">
        <v>1519</v>
      </c>
      <c r="B197" s="3" t="s">
        <v>64</v>
      </c>
      <c r="C197" s="3" t="s">
        <v>164</v>
      </c>
      <c r="D197" s="3" t="s">
        <v>133</v>
      </c>
      <c r="E197" s="3" t="s">
        <v>174</v>
      </c>
      <c r="F197" s="3" t="s">
        <v>141</v>
      </c>
      <c r="G197" s="4">
        <v>45749</v>
      </c>
      <c r="H197" s="3" t="s">
        <v>178</v>
      </c>
      <c r="I197" s="9">
        <f>_xlfn.IFS(AND(F197=Plans!$A$2,Base!H197=Plans!$B$1),Plans!$B$2,AND(F197=Plans!$A$2,Base!H197=Plans!$C$1),Plans!$C$2,AND(F197=Plans!$A$2,Base!H197=Plans!$D$1),Plans!$D$2,AND(F197=Plans!$A$3,Base!H197=Plans!$B$1),Plans!$B$3,AND(F197=Plans!$A$3,Base!H197=Plans!$C$1),Plans!$C$3,AND(F197=Plans!$A$3,Base!H197=Plans!$D$1),Plans!$D$3,AND(F197=Plans!$A$4,Base!H197=Plans!$B$1),Plans!$B$4,AND(F197=Plans!$A$4,Base!H197=Plans!$C$1),Plans!$C$4,AND(F197=Plans!$A$4,Base!H197=Plans!$D$1),Plans!$D$4,AND(F197=Plans!$A$5,Base!H197=Plans!$B$1),Plans!$B$5,AND(F197=Plans!$A$5,Base!H197=Plans!$C$1),Plans!$C$5,AND(F197=Plans!$A$5,Base!H197=Plans!$D$1),Plans!$D$5)</f>
        <v>199.9</v>
      </c>
      <c r="J197" s="3" t="s">
        <v>147</v>
      </c>
    </row>
    <row r="198" spans="1:10" x14ac:dyDescent="0.35">
      <c r="A198" s="2">
        <v>1520</v>
      </c>
      <c r="B198" s="3" t="s">
        <v>85</v>
      </c>
      <c r="C198" s="3" t="s">
        <v>165</v>
      </c>
      <c r="D198" s="3" t="s">
        <v>137</v>
      </c>
      <c r="E198" s="3" t="s">
        <v>170</v>
      </c>
      <c r="F198" s="3" t="s">
        <v>141</v>
      </c>
      <c r="G198" s="4">
        <v>45752</v>
      </c>
      <c r="H198" s="3" t="s">
        <v>178</v>
      </c>
      <c r="I198" s="9">
        <f>_xlfn.IFS(AND(F198=Plans!$A$2,Base!H198=Plans!$B$1),Plans!$B$2,AND(F198=Plans!$A$2,Base!H198=Plans!$C$1),Plans!$C$2,AND(F198=Plans!$A$2,Base!H198=Plans!$D$1),Plans!$D$2,AND(F198=Plans!$A$3,Base!H198=Plans!$B$1),Plans!$B$3,AND(F198=Plans!$A$3,Base!H198=Plans!$C$1),Plans!$C$3,AND(F198=Plans!$A$3,Base!H198=Plans!$D$1),Plans!$D$3,AND(F198=Plans!$A$4,Base!H198=Plans!$B$1),Plans!$B$4,AND(F198=Plans!$A$4,Base!H198=Plans!$C$1),Plans!$C$4,AND(F198=Plans!$A$4,Base!H198=Plans!$D$1),Plans!$D$4,AND(F198=Plans!$A$5,Base!H198=Plans!$B$1),Plans!$B$5,AND(F198=Plans!$A$5,Base!H198=Plans!$C$1),Plans!$C$5,AND(F198=Plans!$A$5,Base!H198=Plans!$D$1),Plans!$D$5)</f>
        <v>199.9</v>
      </c>
      <c r="J198" s="3" t="s">
        <v>149</v>
      </c>
    </row>
    <row r="199" spans="1:10" x14ac:dyDescent="0.35">
      <c r="A199" s="2">
        <v>1521</v>
      </c>
      <c r="B199" s="3" t="s">
        <v>6</v>
      </c>
      <c r="C199" s="3" t="s">
        <v>164</v>
      </c>
      <c r="D199" s="3" t="s">
        <v>124</v>
      </c>
      <c r="E199" s="3" t="s">
        <v>170</v>
      </c>
      <c r="F199" s="3" t="s">
        <v>142</v>
      </c>
      <c r="G199" s="4">
        <v>45755</v>
      </c>
      <c r="H199" s="3" t="s">
        <v>162</v>
      </c>
      <c r="I199" s="9">
        <f>_xlfn.IFS(AND(F199=Plans!$A$2,Base!H199=Plans!$B$1),Plans!$B$2,AND(F199=Plans!$A$2,Base!H199=Plans!$C$1),Plans!$C$2,AND(F199=Plans!$A$2,Base!H199=Plans!$D$1),Plans!$D$2,AND(F199=Plans!$A$3,Base!H199=Plans!$B$1),Plans!$B$3,AND(F199=Plans!$A$3,Base!H199=Plans!$C$1),Plans!$C$3,AND(F199=Plans!$A$3,Base!H199=Plans!$D$1),Plans!$D$3,AND(F199=Plans!$A$4,Base!H199=Plans!$B$1),Plans!$B$4,AND(F199=Plans!$A$4,Base!H199=Plans!$C$1),Plans!$C$4,AND(F199=Plans!$A$4,Base!H199=Plans!$D$1),Plans!$D$4,AND(F199=Plans!$A$5,Base!H199=Plans!$B$1),Plans!$B$5,AND(F199=Plans!$A$5,Base!H199=Plans!$C$1),Plans!$C$5,AND(F199=Plans!$A$5,Base!H199=Plans!$D$1),Plans!$D$5)</f>
        <v>39.9</v>
      </c>
      <c r="J199" s="3" t="s">
        <v>145</v>
      </c>
    </row>
    <row r="200" spans="1:10" x14ac:dyDescent="0.35">
      <c r="A200" s="2">
        <v>1522</v>
      </c>
      <c r="B200" s="3" t="s">
        <v>4</v>
      </c>
      <c r="C200" s="3" t="s">
        <v>164</v>
      </c>
      <c r="D200" s="3" t="s">
        <v>134</v>
      </c>
      <c r="E200" s="3" t="s">
        <v>171</v>
      </c>
      <c r="F200" s="3" t="s">
        <v>139</v>
      </c>
      <c r="G200" s="4">
        <v>45758</v>
      </c>
      <c r="H200" s="3" t="s">
        <v>162</v>
      </c>
      <c r="I200" s="9">
        <f>_xlfn.IFS(AND(F200=Plans!$A$2,Base!H200=Plans!$B$1),Plans!$B$2,AND(F200=Plans!$A$2,Base!H200=Plans!$C$1),Plans!$C$2,AND(F200=Plans!$A$2,Base!H200=Plans!$D$1),Plans!$D$2,AND(F200=Plans!$A$3,Base!H200=Plans!$B$1),Plans!$B$3,AND(F200=Plans!$A$3,Base!H200=Plans!$C$1),Plans!$C$3,AND(F200=Plans!$A$3,Base!H200=Plans!$D$1),Plans!$D$3,AND(F200=Plans!$A$4,Base!H200=Plans!$B$1),Plans!$B$4,AND(F200=Plans!$A$4,Base!H200=Plans!$C$1),Plans!$C$4,AND(F200=Plans!$A$4,Base!H200=Plans!$D$1),Plans!$D$4,AND(F200=Plans!$A$5,Base!H200=Plans!$B$1),Plans!$B$5,AND(F200=Plans!$A$5,Base!H200=Plans!$C$1),Plans!$C$5,AND(F200=Plans!$A$5,Base!H200=Plans!$D$1),Plans!$D$5)</f>
        <v>74.900000000000006</v>
      </c>
      <c r="J200" s="3" t="s">
        <v>163</v>
      </c>
    </row>
    <row r="201" spans="1:10" x14ac:dyDescent="0.35">
      <c r="A201" s="2">
        <v>1523</v>
      </c>
      <c r="B201" s="3" t="s">
        <v>118</v>
      </c>
      <c r="C201" s="3" t="s">
        <v>165</v>
      </c>
      <c r="D201" s="3" t="s">
        <v>132</v>
      </c>
      <c r="E201" s="3" t="s">
        <v>174</v>
      </c>
      <c r="F201" s="3" t="s">
        <v>141</v>
      </c>
      <c r="G201" s="4">
        <v>45761</v>
      </c>
      <c r="H201" s="3" t="s">
        <v>162</v>
      </c>
      <c r="I201" s="9">
        <f>_xlfn.IFS(AND(F201=Plans!$A$2,Base!H201=Plans!$B$1),Plans!$B$2,AND(F201=Plans!$A$2,Base!H201=Plans!$C$1),Plans!$C$2,AND(F201=Plans!$A$2,Base!H201=Plans!$D$1),Plans!$D$2,AND(F201=Plans!$A$3,Base!H201=Plans!$B$1),Plans!$B$3,AND(F201=Plans!$A$3,Base!H201=Plans!$C$1),Plans!$C$3,AND(F201=Plans!$A$3,Base!H201=Plans!$D$1),Plans!$D$3,AND(F201=Plans!$A$4,Base!H201=Plans!$B$1),Plans!$B$4,AND(F201=Plans!$A$4,Base!H201=Plans!$C$1),Plans!$C$4,AND(F201=Plans!$A$4,Base!H201=Plans!$D$1),Plans!$D$4,AND(F201=Plans!$A$5,Base!H201=Plans!$B$1),Plans!$B$5,AND(F201=Plans!$A$5,Base!H201=Plans!$C$1),Plans!$C$5,AND(F201=Plans!$A$5,Base!H201=Plans!$D$1),Plans!$D$5)</f>
        <v>24.9</v>
      </c>
      <c r="J201" s="3" t="s">
        <v>152</v>
      </c>
    </row>
    <row r="202" spans="1:10" x14ac:dyDescent="0.35">
      <c r="G202" s="1"/>
    </row>
    <row r="203" spans="1:10" x14ac:dyDescent="0.35">
      <c r="G203" s="1"/>
    </row>
    <row r="204" spans="1:10" x14ac:dyDescent="0.35">
      <c r="G204" s="1"/>
    </row>
    <row r="205" spans="1:10" x14ac:dyDescent="0.35">
      <c r="G205" s="1"/>
    </row>
    <row r="206" spans="1:10" x14ac:dyDescent="0.35">
      <c r="G206" s="1"/>
    </row>
  </sheetData>
  <autoFilter ref="A1:J201" xr:uid="{00000000-0001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F67F-D6A1-4AD6-9D65-61B10C3E28EE}">
  <dimension ref="B2:D23"/>
  <sheetViews>
    <sheetView workbookViewId="0">
      <selection activeCell="D14" sqref="D14"/>
    </sheetView>
  </sheetViews>
  <sheetFormatPr defaultRowHeight="14.5" x14ac:dyDescent="0.35"/>
  <cols>
    <col min="2" max="2" width="17.453125" bestFit="1" customWidth="1"/>
    <col min="3" max="3" width="23.6328125" bestFit="1" customWidth="1"/>
    <col min="4" max="4" width="11.36328125" bestFit="1" customWidth="1"/>
  </cols>
  <sheetData>
    <row r="2" spans="2:4" x14ac:dyDescent="0.35">
      <c r="B2" s="7" t="s">
        <v>158</v>
      </c>
      <c r="C2" t="s">
        <v>179</v>
      </c>
    </row>
    <row r="3" spans="2:4" x14ac:dyDescent="0.35">
      <c r="B3" s="7" t="s">
        <v>169</v>
      </c>
      <c r="C3" t="s">
        <v>179</v>
      </c>
    </row>
    <row r="5" spans="2:4" x14ac:dyDescent="0.35">
      <c r="B5" s="7" t="s">
        <v>176</v>
      </c>
      <c r="C5" t="s">
        <v>175</v>
      </c>
    </row>
    <row r="6" spans="2:4" x14ac:dyDescent="0.35">
      <c r="B6" s="8" t="s">
        <v>162</v>
      </c>
      <c r="C6" s="10">
        <v>3796.2000000000057</v>
      </c>
      <c r="D6" s="10">
        <f>SUMIF(Base!$H$2:$H$201,"Monthly",Base!$I$2:$I$201)</f>
        <v>3796.2000000000057</v>
      </c>
    </row>
    <row r="7" spans="2:4" x14ac:dyDescent="0.35">
      <c r="B7" s="8" t="s">
        <v>161</v>
      </c>
      <c r="C7" s="10">
        <v>11477.199999999995</v>
      </c>
      <c r="D7" s="10">
        <f>SUMIF(Base!$H$2:$H$201,"Regular Season",Base!$I$2:$I$201)</f>
        <v>11477.199999999995</v>
      </c>
    </row>
    <row r="8" spans="2:4" x14ac:dyDescent="0.35">
      <c r="B8" s="8" t="s">
        <v>178</v>
      </c>
      <c r="C8" s="10">
        <v>27841.600000000039</v>
      </c>
      <c r="D8" s="10">
        <f>SUMIF(Base!$H$2:$H$201,"Full Season",Base!$I$2:$I$201)</f>
        <v>27841.600000000039</v>
      </c>
    </row>
    <row r="9" spans="2:4" x14ac:dyDescent="0.35">
      <c r="B9" s="8" t="s">
        <v>177</v>
      </c>
      <c r="C9" s="10">
        <v>43115.000000000044</v>
      </c>
    </row>
    <row r="11" spans="2:4" x14ac:dyDescent="0.35">
      <c r="B11" s="7" t="s">
        <v>176</v>
      </c>
      <c r="C11" t="s">
        <v>175</v>
      </c>
    </row>
    <row r="12" spans="2:4" x14ac:dyDescent="0.35">
      <c r="B12" s="8" t="s">
        <v>166</v>
      </c>
      <c r="C12" s="10">
        <v>5208.2</v>
      </c>
    </row>
    <row r="13" spans="2:4" x14ac:dyDescent="0.35">
      <c r="B13" s="8" t="s">
        <v>165</v>
      </c>
      <c r="C13" s="10">
        <v>21380.700000000012</v>
      </c>
    </row>
    <row r="14" spans="2:4" x14ac:dyDescent="0.35">
      <c r="B14" s="8" t="s">
        <v>164</v>
      </c>
      <c r="C14" s="10">
        <v>16526.099999999984</v>
      </c>
    </row>
    <row r="15" spans="2:4" x14ac:dyDescent="0.35">
      <c r="B15" s="8" t="s">
        <v>177</v>
      </c>
      <c r="C15" s="10">
        <v>43115</v>
      </c>
    </row>
    <row r="17" spans="2:3" x14ac:dyDescent="0.35">
      <c r="B17" s="7" t="s">
        <v>176</v>
      </c>
      <c r="C17" t="s">
        <v>175</v>
      </c>
    </row>
    <row r="18" spans="2:3" x14ac:dyDescent="0.35">
      <c r="B18" s="8" t="s">
        <v>172</v>
      </c>
      <c r="C18" s="10">
        <v>7511.4999999999945</v>
      </c>
    </row>
    <row r="19" spans="2:3" x14ac:dyDescent="0.35">
      <c r="B19" s="8" t="s">
        <v>171</v>
      </c>
      <c r="C19" s="10">
        <v>15961.699999999981</v>
      </c>
    </row>
    <row r="20" spans="2:3" x14ac:dyDescent="0.35">
      <c r="B20" s="8" t="s">
        <v>174</v>
      </c>
      <c r="C20" s="10">
        <v>5072.7999999999993</v>
      </c>
    </row>
    <row r="21" spans="2:3" x14ac:dyDescent="0.35">
      <c r="B21" s="8" t="s">
        <v>170</v>
      </c>
      <c r="C21" s="10">
        <v>11410.999999999991</v>
      </c>
    </row>
    <row r="22" spans="2:3" x14ac:dyDescent="0.35">
      <c r="B22" s="8" t="s">
        <v>173</v>
      </c>
      <c r="C22" s="10">
        <v>3158.0000000000009</v>
      </c>
    </row>
    <row r="23" spans="2:3" x14ac:dyDescent="0.35">
      <c r="B23" s="8" t="s">
        <v>177</v>
      </c>
      <c r="C23" s="10">
        <v>43114.999999999964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C4DB-6829-4A2C-8EB5-D8AF4EF346E6}">
  <dimension ref="A1:Z101"/>
  <sheetViews>
    <sheetView showGridLines="0" showRowColHeaders="0" tabSelected="1" workbookViewId="0">
      <selection activeCell="Q15" sqref="Q15"/>
    </sheetView>
  </sheetViews>
  <sheetFormatPr defaultRowHeight="14.5" x14ac:dyDescent="0.35"/>
  <cols>
    <col min="1" max="1" width="32.453125" customWidth="1"/>
    <col min="2" max="2" width="17.1796875" customWidth="1"/>
    <col min="4" max="4" width="4.90625" customWidth="1"/>
  </cols>
  <sheetData>
    <row r="1" spans="1:26" s="13" customFormat="1" ht="21.5" customHeight="1" x14ac:dyDescent="0.35"/>
    <row r="2" spans="1:26" s="13" customFormat="1" ht="27" customHeight="1" x14ac:dyDescent="0.55000000000000004">
      <c r="A2" s="19" t="s">
        <v>187</v>
      </c>
    </row>
    <row r="3" spans="1:26" x14ac:dyDescent="0.35">
      <c r="A3" s="18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5">
      <c r="A4" s="1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5">
      <c r="A5" s="18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5">
      <c r="A6" s="18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5">
      <c r="A7" s="18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5">
      <c r="A8" s="18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5">
      <c r="A9" s="18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5">
      <c r="A10" s="18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5">
      <c r="A11" s="1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5">
      <c r="A12" s="18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35">
      <c r="A13" s="18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5">
      <c r="A14" s="18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5">
      <c r="A15" s="1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5">
      <c r="A16" s="1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5">
      <c r="A17" s="18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5">
      <c r="A18" s="18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5">
      <c r="A19" s="1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5">
      <c r="A20" s="1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5">
      <c r="A21" s="1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5">
      <c r="A22" s="1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5">
      <c r="A23" s="1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5">
      <c r="A24" s="1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5">
      <c r="A25" s="1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5">
      <c r="A26" s="1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5">
      <c r="A27" s="1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5">
      <c r="A28" s="1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5">
      <c r="A29" s="1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5">
      <c r="A30" s="1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5">
      <c r="A31" s="1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5">
      <c r="A32" s="1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5">
      <c r="A33" s="1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5">
      <c r="A34" s="18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5">
      <c r="A35" s="1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5">
      <c r="A36" s="18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5">
      <c r="A37" s="18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5">
      <c r="A38" s="18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5">
      <c r="A39" s="18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5">
      <c r="A40" s="1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5">
      <c r="A41" s="1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5">
      <c r="A42" s="1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5">
      <c r="A43" s="1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5">
      <c r="A44" s="1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5">
      <c r="A45" s="1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5">
      <c r="A46" s="1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5">
      <c r="A47" s="18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5">
      <c r="A48" s="1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5">
      <c r="A49" s="1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5">
      <c r="A50" s="1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5">
      <c r="A51" s="1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5">
      <c r="A52" s="18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5">
      <c r="A53" s="18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5">
      <c r="A54" s="18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5">
      <c r="A55" s="18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5">
      <c r="A56" s="18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5">
      <c r="A57" s="18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5">
      <c r="A58" s="18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5">
      <c r="A59" s="18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5">
      <c r="A60" s="18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5">
      <c r="A61" s="18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5">
      <c r="A62" s="18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5">
      <c r="A63" s="18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5">
      <c r="A64" s="18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5">
      <c r="A65" s="18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5">
      <c r="A66" s="18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5">
      <c r="A67" s="18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5">
      <c r="A68" s="18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5">
      <c r="A69" s="18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5">
      <c r="A70" s="18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5">
      <c r="A71" s="18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5">
      <c r="A72" s="18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5">
      <c r="A73" s="18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5">
      <c r="A74" s="18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5">
      <c r="A75" s="18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5">
      <c r="A76" s="18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5">
      <c r="A77" s="18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5">
      <c r="A78" s="18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5">
      <c r="A79" s="18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5">
      <c r="A80" s="18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5">
      <c r="A81" s="18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5">
      <c r="A82" s="18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5">
      <c r="A83" s="18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5">
      <c r="A84" s="18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5">
      <c r="A85" s="18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5">
      <c r="A86" s="18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5">
      <c r="A87" s="18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5">
      <c r="A88" s="18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5">
      <c r="A89" s="18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5">
      <c r="A90" s="18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5">
      <c r="A91" s="18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5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5">
      <c r="A93" s="18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5">
      <c r="A94" s="18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5">
      <c r="A95" s="18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5">
      <c r="A96" s="18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5">
      <c r="A97" s="18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5">
      <c r="A98" s="18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5">
      <c r="A99" s="18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5">
      <c r="A100" s="18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5">
      <c r="A101" s="18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Plans</vt:lpstr>
      <vt:lpstr>Base</vt:lpstr>
      <vt:lpstr>Tasks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de Andrade</dc:creator>
  <cp:lastModifiedBy>Wilson de Andrade</cp:lastModifiedBy>
  <dcterms:created xsi:type="dcterms:W3CDTF">2026-01-01T22:11:13Z</dcterms:created>
  <dcterms:modified xsi:type="dcterms:W3CDTF">2026-01-03T02:00:24Z</dcterms:modified>
</cp:coreProperties>
</file>